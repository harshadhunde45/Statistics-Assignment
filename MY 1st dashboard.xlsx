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89C6E01-5C85-4A54-B8B0-731D2A0A4341}" xr6:coauthVersionLast="47" xr6:coauthVersionMax="47" xr10:uidLastSave="{00000000-0000-0000-0000-000000000000}"/>
  <bookViews>
    <workbookView xWindow="-120" yWindow="-120" windowWidth="20730" windowHeight="11040" xr2:uid="{D4E06155-7019-4CF8-9E90-41CEFED7CCE9}"/>
  </bookViews>
  <sheets>
    <sheet name="sales data" sheetId="1" r:id="rId1"/>
    <sheet name="pivot table" sheetId="2" r:id="rId2"/>
    <sheet name="Dshboard" sheetId="3" r:id="rId3"/>
  </sheets>
  <definedNames>
    <definedName name="_xlcn.WorksheetConnection_Book1Table11" hidden="1">Table1[]</definedName>
  </definedNames>
  <calcPr calcId="191029"/>
  <pivotCaches>
    <pivotCache cacheId="0" r:id="rId4"/>
    <pivotCache cacheId="5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1!Table1"/>
        </x15:modelTables>
      </x15:dataModel>
    </ext>
  </extLst>
</workbook>
</file>

<file path=xl/calcChain.xml><?xml version="1.0" encoding="utf-8"?>
<calcChain xmlns="http://schemas.openxmlformats.org/spreadsheetml/2006/main">
  <c r="I232" i="1" l="1"/>
  <c r="B232" i="1"/>
  <c r="I231" i="1"/>
  <c r="B231" i="1"/>
  <c r="I230" i="1"/>
  <c r="B230" i="1"/>
  <c r="I229" i="1"/>
  <c r="B229" i="1"/>
  <c r="I228" i="1"/>
  <c r="B228" i="1"/>
  <c r="I227" i="1"/>
  <c r="B227" i="1"/>
  <c r="I226" i="1"/>
  <c r="B226" i="1"/>
  <c r="I225" i="1"/>
  <c r="B225" i="1"/>
  <c r="I224" i="1"/>
  <c r="B224" i="1"/>
  <c r="I223" i="1"/>
  <c r="B223" i="1"/>
  <c r="I222" i="1"/>
  <c r="B222" i="1"/>
  <c r="I221" i="1"/>
  <c r="B221" i="1"/>
  <c r="I220" i="1"/>
  <c r="B220" i="1"/>
  <c r="I219" i="1"/>
  <c r="B219" i="1"/>
  <c r="I218" i="1"/>
  <c r="B218" i="1"/>
  <c r="I217" i="1"/>
  <c r="B217" i="1"/>
  <c r="I216" i="1"/>
  <c r="B216" i="1"/>
  <c r="I215" i="1"/>
  <c r="B215" i="1"/>
  <c r="I214" i="1"/>
  <c r="B214" i="1"/>
  <c r="I213" i="1"/>
  <c r="B213" i="1"/>
  <c r="I212" i="1"/>
  <c r="B212" i="1"/>
  <c r="I211" i="1"/>
  <c r="B211" i="1"/>
  <c r="I210" i="1"/>
  <c r="B210" i="1"/>
  <c r="I209" i="1"/>
  <c r="B209" i="1"/>
  <c r="I208" i="1"/>
  <c r="B208" i="1"/>
  <c r="I207" i="1"/>
  <c r="B207" i="1"/>
  <c r="I206" i="1"/>
  <c r="B206" i="1"/>
  <c r="I205" i="1"/>
  <c r="B205" i="1"/>
  <c r="I204" i="1"/>
  <c r="B204" i="1"/>
  <c r="I203" i="1"/>
  <c r="B203" i="1"/>
  <c r="I202" i="1"/>
  <c r="B202" i="1"/>
  <c r="I201" i="1"/>
  <c r="B201" i="1"/>
  <c r="I200" i="1"/>
  <c r="B200" i="1"/>
  <c r="I199" i="1"/>
  <c r="B199" i="1"/>
  <c r="I198" i="1"/>
  <c r="B198" i="1"/>
  <c r="I197" i="1"/>
  <c r="B197" i="1"/>
  <c r="I196" i="1"/>
  <c r="B196" i="1"/>
  <c r="I195" i="1"/>
  <c r="B195" i="1"/>
  <c r="I194" i="1"/>
  <c r="B194" i="1"/>
  <c r="I193" i="1"/>
  <c r="B193" i="1"/>
  <c r="I192" i="1"/>
  <c r="B192" i="1"/>
  <c r="I191" i="1"/>
  <c r="B191" i="1"/>
  <c r="I190" i="1"/>
  <c r="B190" i="1"/>
  <c r="I189" i="1"/>
  <c r="B189" i="1"/>
  <c r="I188" i="1"/>
  <c r="B188" i="1"/>
  <c r="I187" i="1"/>
  <c r="B187" i="1"/>
  <c r="I186" i="1"/>
  <c r="B186" i="1"/>
  <c r="I185" i="1"/>
  <c r="B185" i="1"/>
  <c r="I184" i="1"/>
  <c r="B184" i="1"/>
  <c r="I183" i="1"/>
  <c r="B183" i="1"/>
  <c r="I182" i="1"/>
  <c r="B182" i="1"/>
  <c r="I181" i="1"/>
  <c r="B181" i="1"/>
  <c r="I180" i="1"/>
  <c r="B180" i="1"/>
  <c r="I179" i="1"/>
  <c r="B179" i="1"/>
  <c r="I178" i="1"/>
  <c r="B178" i="1"/>
  <c r="I177" i="1"/>
  <c r="B177" i="1"/>
  <c r="I176" i="1"/>
  <c r="B176" i="1"/>
  <c r="I175" i="1"/>
  <c r="B175" i="1"/>
  <c r="I174" i="1"/>
  <c r="B174" i="1"/>
  <c r="I173" i="1"/>
  <c r="B173" i="1"/>
  <c r="I172" i="1"/>
  <c r="B172" i="1"/>
  <c r="I171" i="1"/>
  <c r="B171" i="1"/>
  <c r="I170" i="1"/>
  <c r="B170" i="1"/>
  <c r="I169" i="1"/>
  <c r="B169" i="1"/>
  <c r="I168" i="1"/>
  <c r="B168" i="1"/>
  <c r="I167" i="1"/>
  <c r="B167" i="1"/>
  <c r="I166" i="1"/>
  <c r="B166" i="1"/>
  <c r="I165" i="1"/>
  <c r="B165" i="1"/>
  <c r="I164" i="1"/>
  <c r="B164" i="1"/>
  <c r="I163" i="1"/>
  <c r="B163" i="1"/>
  <c r="I162" i="1"/>
  <c r="B162" i="1"/>
  <c r="I161" i="1"/>
  <c r="B161" i="1"/>
  <c r="I160" i="1"/>
  <c r="B160" i="1"/>
  <c r="I159" i="1"/>
  <c r="B159" i="1"/>
  <c r="I158" i="1"/>
  <c r="B158" i="1"/>
  <c r="I157" i="1"/>
  <c r="B157" i="1"/>
  <c r="I156" i="1"/>
  <c r="B156" i="1"/>
  <c r="I155" i="1"/>
  <c r="B155" i="1"/>
  <c r="I154" i="1"/>
  <c r="B154" i="1"/>
  <c r="I153" i="1"/>
  <c r="B153" i="1"/>
  <c r="I152" i="1"/>
  <c r="B152" i="1"/>
  <c r="I151" i="1"/>
  <c r="B151" i="1"/>
  <c r="I150" i="1"/>
  <c r="B150" i="1"/>
  <c r="I149" i="1"/>
  <c r="B149" i="1"/>
  <c r="I148" i="1"/>
  <c r="B148" i="1"/>
  <c r="I147" i="1"/>
  <c r="B147" i="1"/>
  <c r="I146" i="1"/>
  <c r="B146" i="1"/>
  <c r="I145" i="1"/>
  <c r="B145" i="1"/>
  <c r="I144" i="1"/>
  <c r="B144" i="1"/>
  <c r="I143" i="1"/>
  <c r="B143" i="1"/>
  <c r="I142" i="1"/>
  <c r="B142" i="1"/>
  <c r="I141" i="1"/>
  <c r="B141" i="1"/>
  <c r="I140" i="1"/>
  <c r="B140" i="1"/>
  <c r="I139" i="1"/>
  <c r="B139" i="1"/>
  <c r="I138" i="1"/>
  <c r="B138" i="1"/>
  <c r="I137" i="1"/>
  <c r="B137" i="1"/>
  <c r="I136" i="1"/>
  <c r="B136" i="1"/>
  <c r="I135" i="1"/>
  <c r="B135" i="1"/>
  <c r="I134" i="1"/>
  <c r="B134" i="1"/>
  <c r="I133" i="1"/>
  <c r="B133" i="1"/>
  <c r="I132" i="1"/>
  <c r="B132" i="1"/>
  <c r="I131" i="1"/>
  <c r="B131" i="1"/>
  <c r="I130" i="1"/>
  <c r="B130" i="1"/>
  <c r="I129" i="1"/>
  <c r="B129" i="1"/>
  <c r="I128" i="1"/>
  <c r="B128" i="1"/>
  <c r="I127" i="1"/>
  <c r="B127" i="1"/>
  <c r="I126" i="1"/>
  <c r="B126" i="1"/>
  <c r="I125" i="1"/>
  <c r="B125" i="1"/>
  <c r="I124" i="1"/>
  <c r="B124" i="1"/>
  <c r="I123" i="1"/>
  <c r="B123" i="1"/>
  <c r="I122" i="1"/>
  <c r="B122" i="1"/>
  <c r="I121" i="1"/>
  <c r="B121" i="1"/>
  <c r="I120" i="1"/>
  <c r="B120" i="1"/>
  <c r="I119" i="1"/>
  <c r="B119" i="1"/>
  <c r="I118" i="1"/>
  <c r="B118" i="1"/>
  <c r="I117" i="1"/>
  <c r="B117" i="1"/>
  <c r="I116" i="1"/>
  <c r="B116" i="1"/>
  <c r="I115" i="1"/>
  <c r="B115" i="1"/>
  <c r="I114" i="1"/>
  <c r="B114" i="1"/>
  <c r="I113" i="1"/>
  <c r="B113" i="1"/>
  <c r="I112" i="1"/>
  <c r="B112" i="1"/>
  <c r="I111" i="1"/>
  <c r="B111" i="1"/>
  <c r="I110" i="1"/>
  <c r="B110" i="1"/>
  <c r="I109" i="1"/>
  <c r="B109" i="1"/>
  <c r="I108" i="1"/>
  <c r="B108" i="1"/>
  <c r="I107" i="1"/>
  <c r="B107" i="1"/>
  <c r="I106" i="1"/>
  <c r="B106" i="1"/>
  <c r="I105" i="1"/>
  <c r="B105" i="1"/>
  <c r="I104" i="1"/>
  <c r="B104" i="1"/>
  <c r="I103" i="1"/>
  <c r="B103" i="1"/>
  <c r="I102" i="1"/>
  <c r="B102" i="1"/>
  <c r="I101" i="1"/>
  <c r="B101" i="1"/>
  <c r="I100" i="1"/>
  <c r="B100" i="1"/>
  <c r="I99" i="1"/>
  <c r="B99" i="1"/>
  <c r="I98" i="1"/>
  <c r="B98" i="1"/>
  <c r="I97" i="1"/>
  <c r="B97" i="1"/>
  <c r="I96" i="1"/>
  <c r="B96" i="1"/>
  <c r="I95" i="1"/>
  <c r="B95" i="1"/>
  <c r="I94" i="1"/>
  <c r="B94" i="1"/>
  <c r="I93" i="1"/>
  <c r="B93" i="1"/>
  <c r="I92" i="1"/>
  <c r="B92" i="1"/>
  <c r="I91" i="1"/>
  <c r="B91" i="1"/>
  <c r="I90" i="1"/>
  <c r="B90" i="1"/>
  <c r="I89" i="1"/>
  <c r="B89" i="1"/>
  <c r="I88" i="1"/>
  <c r="B88" i="1"/>
  <c r="I87" i="1"/>
  <c r="B87" i="1"/>
  <c r="I86" i="1"/>
  <c r="B86" i="1"/>
  <c r="I85" i="1"/>
  <c r="B85" i="1"/>
  <c r="I84" i="1"/>
  <c r="B84" i="1"/>
  <c r="I83" i="1"/>
  <c r="B83" i="1"/>
  <c r="I82" i="1"/>
  <c r="B82" i="1"/>
  <c r="I81" i="1"/>
  <c r="B81" i="1"/>
  <c r="I80" i="1"/>
  <c r="B80" i="1"/>
  <c r="I79" i="1"/>
  <c r="B79" i="1"/>
  <c r="I78" i="1"/>
  <c r="B78" i="1"/>
  <c r="I77" i="1"/>
  <c r="B77" i="1"/>
  <c r="I76" i="1"/>
  <c r="B76" i="1"/>
  <c r="I75" i="1"/>
  <c r="B75" i="1"/>
  <c r="I74" i="1"/>
  <c r="B74" i="1"/>
  <c r="I73" i="1"/>
  <c r="B73" i="1"/>
  <c r="I72" i="1"/>
  <c r="B72" i="1"/>
  <c r="I71" i="1"/>
  <c r="B71" i="1"/>
  <c r="I70" i="1"/>
  <c r="B70" i="1"/>
  <c r="I69" i="1"/>
  <c r="B69" i="1"/>
  <c r="I68" i="1"/>
  <c r="B68" i="1"/>
  <c r="I67" i="1"/>
  <c r="B67" i="1"/>
  <c r="I66" i="1"/>
  <c r="B66" i="1"/>
  <c r="I65" i="1"/>
  <c r="B65" i="1"/>
  <c r="I64" i="1"/>
  <c r="B64" i="1"/>
  <c r="I63" i="1"/>
  <c r="B63" i="1"/>
  <c r="I62" i="1"/>
  <c r="B62" i="1"/>
  <c r="I61" i="1"/>
  <c r="B61" i="1"/>
  <c r="I60" i="1"/>
  <c r="B60" i="1"/>
  <c r="I59" i="1"/>
  <c r="B59" i="1"/>
  <c r="I58" i="1"/>
  <c r="B58" i="1"/>
  <c r="I57" i="1"/>
  <c r="B57" i="1"/>
  <c r="I56" i="1"/>
  <c r="B56" i="1"/>
  <c r="I55" i="1"/>
  <c r="B55" i="1"/>
  <c r="I54" i="1"/>
  <c r="B54" i="1"/>
  <c r="I53" i="1"/>
  <c r="B53" i="1"/>
  <c r="I52" i="1"/>
  <c r="B52" i="1"/>
  <c r="I51" i="1"/>
  <c r="B51" i="1"/>
  <c r="I50" i="1"/>
  <c r="B50" i="1"/>
  <c r="I49" i="1"/>
  <c r="B49" i="1"/>
  <c r="I48" i="1"/>
  <c r="B48" i="1"/>
  <c r="I47" i="1"/>
  <c r="B47" i="1"/>
  <c r="I46" i="1"/>
  <c r="B46" i="1"/>
  <c r="I45" i="1"/>
  <c r="B45" i="1"/>
  <c r="I44" i="1"/>
  <c r="B44" i="1"/>
  <c r="I43" i="1"/>
  <c r="B43" i="1"/>
  <c r="I42" i="1"/>
  <c r="B42" i="1"/>
  <c r="I41" i="1"/>
  <c r="B41" i="1"/>
  <c r="I40" i="1"/>
  <c r="B40" i="1"/>
  <c r="I39" i="1"/>
  <c r="B39" i="1"/>
  <c r="I38" i="1"/>
  <c r="B38" i="1"/>
  <c r="I37" i="1"/>
  <c r="B37" i="1"/>
  <c r="I36" i="1"/>
  <c r="B36" i="1"/>
  <c r="I35" i="1"/>
  <c r="B35" i="1"/>
  <c r="I34" i="1"/>
  <c r="B34" i="1"/>
  <c r="I33" i="1"/>
  <c r="B33" i="1"/>
  <c r="I32" i="1"/>
  <c r="B32" i="1"/>
  <c r="I31" i="1"/>
  <c r="B31" i="1"/>
  <c r="I30" i="1"/>
  <c r="B30" i="1"/>
  <c r="I29" i="1"/>
  <c r="B29" i="1"/>
  <c r="I28" i="1"/>
  <c r="B28" i="1"/>
  <c r="I27" i="1"/>
  <c r="B27" i="1"/>
  <c r="I26" i="1"/>
  <c r="B26" i="1"/>
  <c r="I25" i="1"/>
  <c r="B25" i="1"/>
  <c r="I24" i="1"/>
  <c r="B24" i="1"/>
  <c r="I23" i="1"/>
  <c r="B23" i="1"/>
  <c r="I22" i="1"/>
  <c r="B22" i="1"/>
  <c r="I21" i="1"/>
  <c r="B21" i="1"/>
  <c r="I20" i="1"/>
  <c r="B20" i="1"/>
  <c r="I19" i="1"/>
  <c r="B19" i="1"/>
  <c r="I18" i="1"/>
  <c r="B18" i="1"/>
  <c r="I17" i="1"/>
  <c r="B17" i="1"/>
  <c r="I16" i="1"/>
  <c r="B16" i="1"/>
  <c r="I15" i="1"/>
  <c r="B15" i="1"/>
  <c r="I14" i="1"/>
  <c r="B14" i="1"/>
  <c r="I13" i="1"/>
  <c r="B13" i="1"/>
  <c r="I12" i="1"/>
  <c r="B12" i="1"/>
  <c r="I11" i="1"/>
  <c r="B11" i="1"/>
  <c r="I10" i="1"/>
  <c r="B10" i="1"/>
  <c r="I9" i="1"/>
  <c r="B9" i="1"/>
  <c r="I8" i="1"/>
  <c r="B8" i="1"/>
  <c r="I7" i="1"/>
  <c r="B7" i="1"/>
  <c r="I6" i="1"/>
  <c r="B6" i="1"/>
  <c r="I5" i="1"/>
  <c r="B5" i="1"/>
  <c r="I4" i="1"/>
  <c r="B4" i="1"/>
  <c r="I3" i="1"/>
  <c r="B3" i="1"/>
  <c r="I2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54D975-C2C0-4B74-8028-E1B1D1D877E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CF058F7-1B9D-4AF6-863C-15843EB46597}" name="WorksheetConnection_Book1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ook1Table11"/>
        </x15:connection>
      </ext>
    </extLst>
  </connection>
</connections>
</file>

<file path=xl/sharedStrings.xml><?xml version="1.0" encoding="utf-8"?>
<sst xmlns="http://schemas.openxmlformats.org/spreadsheetml/2006/main" count="952" uniqueCount="36">
  <si>
    <t>Date</t>
  </si>
  <si>
    <t>Month</t>
  </si>
  <si>
    <t>Region</t>
  </si>
  <si>
    <t>Sales Rep</t>
  </si>
  <si>
    <t>Product Category</t>
  </si>
  <si>
    <t>Color</t>
  </si>
  <si>
    <t>Price</t>
  </si>
  <si>
    <t>Qty</t>
  </si>
  <si>
    <t>Revenue</t>
  </si>
  <si>
    <t>East Coast</t>
  </si>
  <si>
    <t>Andre Gomez</t>
  </si>
  <si>
    <t>Confections</t>
  </si>
  <si>
    <t>Green</t>
  </si>
  <si>
    <t>Jenny Paul</t>
  </si>
  <si>
    <t>Grains/Cereals</t>
  </si>
  <si>
    <t>Red</t>
  </si>
  <si>
    <t>Patrick Thomas</t>
  </si>
  <si>
    <t>Neil Smith</t>
  </si>
  <si>
    <t>Blue</t>
  </si>
  <si>
    <t>Meat/Poultry</t>
  </si>
  <si>
    <t>Beverages</t>
  </si>
  <si>
    <t>South Coast</t>
  </si>
  <si>
    <t>Condiments</t>
  </si>
  <si>
    <t>Dairy Products</t>
  </si>
  <si>
    <t>Seafood</t>
  </si>
  <si>
    <t>Produce</t>
  </si>
  <si>
    <t>North Coast</t>
  </si>
  <si>
    <t>David Oxford</t>
  </si>
  <si>
    <t>West Coast</t>
  </si>
  <si>
    <t>Sally Rogers</t>
  </si>
  <si>
    <t>Sales revenue by Sale Rep</t>
  </si>
  <si>
    <t>Row Labels</t>
  </si>
  <si>
    <t>Grand Total</t>
  </si>
  <si>
    <t>Sum of Revenue</t>
  </si>
  <si>
    <t>Excel Dshboard Project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</si>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</sst>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3">
    <dxf>
      <numFmt numFmtId="0" formatCode="General"/>
    </dxf>
    <dxf>
      <numFmt numFmtId="164" formatCode="dd/mm/yy"/>
    </dxf>
    <dxf>
      <numFmt numFmtId="164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0</xdr:row>
      <xdr:rowOff>38100</xdr:rowOff>
    </xdr:from>
    <xdr:to>
      <xdr:col>6</xdr:col>
      <xdr:colOff>390526</xdr:colOff>
      <xdr:row>3</xdr:row>
      <xdr:rowOff>66675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D2C0FAE-E7C2-7AE0-8564-D21F465CB97C}"/>
            </a:ext>
          </a:extLst>
        </xdr:cNvPr>
        <xdr:cNvSpPr/>
      </xdr:nvSpPr>
      <xdr:spPr>
        <a:xfrm>
          <a:off x="28576" y="38100"/>
          <a:ext cx="4019550" cy="6000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/>
            <a:t>Excel Dashboard Project</a:t>
          </a:r>
        </a:p>
      </xdr:txBody>
    </xdr:sp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43.503902777775" backgroundQuery="1" createdVersion="8" refreshedVersion="8" minRefreshableVersion="3" recordCount="0" supportSubquery="1" supportAdvancedDrill="1" xr:uid="{21134AD4-5BAC-424E-9AA8-BE4B8DF60EBE}">
  <cacheSource type="external" connectionId="1"/>
  <cacheFields count="2">
    <cacheField name="[Table1].[Sales Rep].[Sales Rep]" caption="Sales Rep" numFmtId="0" hierarchy="3" level="1">
      <sharedItems count="6">
        <s v="Andre Gomez"/>
        <s v="David Oxford"/>
        <s v="Jenny Paul"/>
        <s v="Neil Smith"/>
        <s v="Patrick Thomas"/>
        <s v="Sally Rogers"/>
      </sharedItems>
    </cacheField>
    <cacheField name="[Measures].[Sum of Revenue]" caption="Sum of Revenue" numFmtId="0" hierarchy="11" level="32767"/>
  </cacheFields>
  <cacheHierarchies count="12"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ales Rep]" caption="Sales Rep" attribute="1" defaultMemberUniqueName="[Table1].[Sales Rep].[All]" allUniqueName="[Table1].[Sales Rep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Color]" caption="Color" attribute="1" defaultMemberUniqueName="[Table1].[Color].[All]" allUniqueName="[Table1].[Color].[All]" dimensionUniqueName="[Table1]" displayFolder="" count="0" memberValueDatatype="130" unbalanced="0"/>
    <cacheHierarchy uniqueName="[Table1].[Price]" caption="Price" attribute="1" defaultMemberUniqueName="[Table1].[Price].[All]" allUniqueName="[Table1].[Price].[All]" dimensionUniqueName="[Table1]" displayFolder="" count="0" memberValueDatatype="5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7.755103819443" createdVersion="8" refreshedVersion="8" minRefreshableVersion="3" recordCount="231" xr:uid="{A4F16663-78A6-466D-8EFE-4D360F1685D7}">
  <cacheSource type="worksheet">
    <worksheetSource name="Table1"/>
  </cacheSource>
  <cacheFields count="9">
    <cacheField name="Date" numFmtId="14">
      <sharedItems containsSemiMixedTypes="0" containsNonDate="0" containsDate="1" containsString="0" minDate="2015-01-01T00:00:00" maxDate="2016-01-01T00:00:00"/>
    </cacheField>
    <cacheField name="Month" numFmtId="14">
      <sharedItems/>
    </cacheField>
    <cacheField name="Region" numFmtId="0">
      <sharedItems count="4">
        <s v="East Coast"/>
        <s v="South Coast"/>
        <s v="North Coast"/>
        <s v="West Coast"/>
      </sharedItems>
    </cacheField>
    <cacheField name="Sales Rep" numFmtId="0">
      <sharedItems/>
    </cacheField>
    <cacheField name="Product Category" numFmtId="0">
      <sharedItems/>
    </cacheField>
    <cacheField name="Color" numFmtId="0">
      <sharedItems/>
    </cacheField>
    <cacheField name="Price" numFmtId="0">
      <sharedItems containsSemiMixedTypes="0" containsString="0" containsNumber="1" minValue="1" maxValue="263.5"/>
    </cacheField>
    <cacheField name="Qty" numFmtId="0">
      <sharedItems containsSemiMixedTypes="0" containsString="0" containsNumber="1" containsInteger="1" minValue="1" maxValue="123"/>
    </cacheField>
    <cacheField name="Revenue" numFmtId="0">
      <sharedItems containsSemiMixedTypes="0" containsString="0" containsNumber="1" minValue="3" maxValue="4456.44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d v="2015-01-01T00:00:00"/>
    <s v="Jan"/>
    <x v="0"/>
    <s v="Andre Gomez"/>
    <s v="Confections"/>
    <s v="Green"/>
    <n v="7.2"/>
    <n v="6"/>
    <n v="43.2"/>
  </r>
  <r>
    <d v="2015-01-01T00:00:00"/>
    <s v="Jan"/>
    <x v="0"/>
    <s v="Jenny Paul"/>
    <s v="Grains/Cereals"/>
    <s v="Red"/>
    <n v="13.9"/>
    <n v="21"/>
    <n v="291.90000000000003"/>
  </r>
  <r>
    <d v="2015-01-02T00:00:00"/>
    <s v="Jan"/>
    <x v="0"/>
    <s v="Patrick Thomas"/>
    <s v="Grains/Cereals"/>
    <s v="Red"/>
    <n v="11.2"/>
    <n v="4"/>
    <n v="44.8"/>
  </r>
  <r>
    <d v="2015-01-03T00:00:00"/>
    <s v="Jan"/>
    <x v="0"/>
    <s v="Neil Smith"/>
    <s v="Grains/Cereals"/>
    <s v="Red"/>
    <n v="15.2"/>
    <n v="5"/>
    <n v="76"/>
  </r>
  <r>
    <d v="2015-01-16T00:00:00"/>
    <s v="Jan"/>
    <x v="0"/>
    <s v="Neil Smith"/>
    <s v="Confections"/>
    <s v="Blue"/>
    <n v="21.8"/>
    <n v="5"/>
    <n v="109"/>
  </r>
  <r>
    <d v="2015-01-21T00:00:00"/>
    <s v="Jan"/>
    <x v="0"/>
    <s v="Andre Gomez"/>
    <s v="Confections"/>
    <s v="Red"/>
    <n v="24.9"/>
    <n v="2"/>
    <n v="49.8"/>
  </r>
  <r>
    <d v="2015-01-22T00:00:00"/>
    <s v="Jan"/>
    <x v="0"/>
    <s v="Patrick Thomas"/>
    <s v="Confections"/>
    <s v="Red"/>
    <n v="19.2"/>
    <n v="1"/>
    <n v="19.2"/>
  </r>
  <r>
    <d v="2015-01-24T00:00:00"/>
    <s v="Jan"/>
    <x v="0"/>
    <s v="Neil Smith"/>
    <s v="Meat/Poultry"/>
    <s v="Blue"/>
    <n v="5.9"/>
    <n v="4"/>
    <n v="23.6"/>
  </r>
  <r>
    <d v="2015-02-04T00:00:00"/>
    <s v="Feb"/>
    <x v="0"/>
    <s v="Andre Gomez"/>
    <s v="Grains/Cereals"/>
    <s v="Green"/>
    <n v="11.2"/>
    <n v="2"/>
    <n v="22.4"/>
  </r>
  <r>
    <d v="2015-02-05T00:00:00"/>
    <s v="Feb"/>
    <x v="0"/>
    <s v="Jenny Paul"/>
    <s v="Meat/Poultry"/>
    <s v="Green"/>
    <n v="26.6"/>
    <n v="6"/>
    <n v="159.60000000000002"/>
  </r>
  <r>
    <d v="2015-02-06T00:00:00"/>
    <s v="Feb"/>
    <x v="0"/>
    <s v="Patrick Thomas"/>
    <s v="Beverages"/>
    <s v="Red"/>
    <n v="15.2"/>
    <n v="45"/>
    <n v="684"/>
  </r>
  <r>
    <d v="2015-02-10T00:00:00"/>
    <s v="Feb"/>
    <x v="0"/>
    <s v="Neil Smith"/>
    <s v="Beverages"/>
    <s v="Red"/>
    <n v="22.8"/>
    <n v="9"/>
    <n v="205.20000000000002"/>
  </r>
  <r>
    <d v="2015-02-12T00:00:00"/>
    <s v="Feb"/>
    <x v="1"/>
    <s v="Jenny Paul"/>
    <s v="Meat/Poultry"/>
    <s v="Blue"/>
    <n v="7.7"/>
    <n v="3"/>
    <n v="23.1"/>
  </r>
  <r>
    <d v="2015-02-12T00:00:00"/>
    <s v="Feb"/>
    <x v="0"/>
    <s v="Patrick Thomas"/>
    <s v="Confections"/>
    <s v="Green"/>
    <n v="39.4"/>
    <n v="35"/>
    <n v="1379"/>
  </r>
  <r>
    <d v="2015-02-18T00:00:00"/>
    <s v="Feb"/>
    <x v="0"/>
    <s v="Neil Smith"/>
    <s v="Confections"/>
    <s v="Blue"/>
    <n v="24.8"/>
    <n v="2"/>
    <n v="49.6"/>
  </r>
  <r>
    <d v="2015-02-20T00:00:00"/>
    <s v="Feb"/>
    <x v="0"/>
    <s v="Andre Gomez"/>
    <s v="Condiments"/>
    <s v="Green"/>
    <n v="12"/>
    <n v="25"/>
    <n v="300"/>
  </r>
  <r>
    <d v="2015-02-21T00:00:00"/>
    <s v="Feb"/>
    <x v="0"/>
    <s v="Jenny Paul"/>
    <s v="Confections"/>
    <s v="Blue"/>
    <n v="26.2"/>
    <n v="5"/>
    <n v="131"/>
  </r>
  <r>
    <d v="2015-02-21T00:00:00"/>
    <s v="Feb"/>
    <x v="0"/>
    <s v="Patrick Thomas"/>
    <s v="Beverages"/>
    <s v="Green"/>
    <n v="44"/>
    <n v="36"/>
    <n v="1584"/>
  </r>
  <r>
    <d v="2015-02-25T00:00:00"/>
    <s v="Feb"/>
    <x v="0"/>
    <s v="Neil Smith"/>
    <s v="Dairy Products"/>
    <s v="Green"/>
    <n v="2.7"/>
    <n v="28"/>
    <n v="75.600000000000009"/>
  </r>
  <r>
    <d v="2015-02-28T00:00:00"/>
    <s v="Feb"/>
    <x v="0"/>
    <s v="Andre Gomez"/>
    <s v="Confections"/>
    <s v="Green"/>
    <n v="17.600000000000001"/>
    <n v="16"/>
    <n v="281.60000000000002"/>
  </r>
  <r>
    <d v="2015-03-04T00:00:00"/>
    <s v="Mar"/>
    <x v="1"/>
    <s v="Jenny Paul"/>
    <s v="Beverages"/>
    <s v="Red"/>
    <n v="7.3"/>
    <n v="21"/>
    <n v="153.29999999999998"/>
  </r>
  <r>
    <d v="2015-03-04T00:00:00"/>
    <s v="Mar"/>
    <x v="0"/>
    <s v="Patrick Thomas"/>
    <s v="Condiments"/>
    <s v="Blue"/>
    <n v="3.4"/>
    <n v="3"/>
    <n v="10.199999999999999"/>
  </r>
  <r>
    <d v="2015-03-04T00:00:00"/>
    <s v="Mar"/>
    <x v="0"/>
    <s v="Neil Smith"/>
    <s v="Grains/Cereals"/>
    <s v="Blue"/>
    <n v="26.6"/>
    <n v="8"/>
    <n v="212.8"/>
  </r>
  <r>
    <d v="2015-03-11T00:00:00"/>
    <s v="Mar"/>
    <x v="0"/>
    <s v="Andre Gomez"/>
    <s v="Grains/Cereals"/>
    <s v="Green"/>
    <n v="14.4"/>
    <n v="15"/>
    <n v="216"/>
  </r>
  <r>
    <d v="2015-03-13T00:00:00"/>
    <s v="Mar"/>
    <x v="0"/>
    <s v="Jenny Paul"/>
    <s v="Dairy Products"/>
    <s v="Green"/>
    <n v="26.6"/>
    <n v="3"/>
    <n v="79.800000000000011"/>
  </r>
  <r>
    <d v="2015-03-17T00:00:00"/>
    <s v="Mar"/>
    <x v="1"/>
    <s v="Patrick Thomas"/>
    <s v="Beverages"/>
    <s v="Red"/>
    <n v="14.7"/>
    <n v="1"/>
    <n v="14.7"/>
  </r>
  <r>
    <d v="2015-03-21T00:00:00"/>
    <s v="Mar"/>
    <x v="1"/>
    <s v="Neil Smith"/>
    <s v="Seafood"/>
    <s v="Red"/>
    <n v="8"/>
    <n v="2"/>
    <n v="16"/>
  </r>
  <r>
    <d v="2015-03-25T00:00:00"/>
    <s v="Mar"/>
    <x v="1"/>
    <s v="Andre Gomez"/>
    <s v="Beverages"/>
    <s v="Blue"/>
    <n v="42.4"/>
    <n v="25"/>
    <n v="1060"/>
  </r>
  <r>
    <d v="2015-03-26T00:00:00"/>
    <s v="Mar"/>
    <x v="0"/>
    <s v="Jenny Paul"/>
    <s v="Confections"/>
    <s v="Blue"/>
    <n v="24.9"/>
    <n v="3"/>
    <n v="74.699999999999989"/>
  </r>
  <r>
    <d v="2015-03-26T00:00:00"/>
    <s v="Mar"/>
    <x v="0"/>
    <s v="Patrick Thomas"/>
    <s v="Produce"/>
    <s v="Green"/>
    <n v="7.2"/>
    <n v="1"/>
    <n v="7.2"/>
  </r>
  <r>
    <d v="2015-04-03T00:00:00"/>
    <s v="Apr"/>
    <x v="0"/>
    <s v="Neil Smith"/>
    <s v="Grains/Cereals"/>
    <s v="Red"/>
    <n v="4.5"/>
    <n v="14"/>
    <n v="63"/>
  </r>
  <r>
    <d v="2015-04-07T00:00:00"/>
    <s v="Apr"/>
    <x v="0"/>
    <s v="Andre Gomez"/>
    <s v="Grains/Cereals"/>
    <s v="Red"/>
    <n v="28.5"/>
    <n v="25"/>
    <n v="712.5"/>
  </r>
  <r>
    <d v="2015-04-09T00:00:00"/>
    <s v="Apr"/>
    <x v="0"/>
    <s v="Jenny Paul"/>
    <s v="Condiments"/>
    <s v="Red"/>
    <n v="46"/>
    <n v="15"/>
    <n v="690"/>
  </r>
  <r>
    <d v="2015-04-11T00:00:00"/>
    <s v="Apr"/>
    <x v="1"/>
    <s v="Patrick Thomas"/>
    <s v="Condiments"/>
    <s v="Blue"/>
    <n v="14"/>
    <n v="18"/>
    <n v="252"/>
  </r>
  <r>
    <d v="2015-04-15T00:00:00"/>
    <s v="Apr"/>
    <x v="0"/>
    <s v="Neil Smith"/>
    <s v="Confections"/>
    <s v="Red"/>
    <n v="3"/>
    <n v="5"/>
    <n v="15"/>
  </r>
  <r>
    <d v="2015-04-21T00:00:00"/>
    <s v="Apr"/>
    <x v="0"/>
    <s v="Andre Gomez"/>
    <s v="Seafood"/>
    <s v="Red"/>
    <n v="7"/>
    <n v="6"/>
    <n v="42"/>
  </r>
  <r>
    <d v="2015-04-22T00:00:00"/>
    <s v="Apr"/>
    <x v="0"/>
    <s v="Jenny Paul"/>
    <s v="Grains/Cereals"/>
    <s v="Blue"/>
    <n v="14"/>
    <n v="2"/>
    <n v="28"/>
  </r>
  <r>
    <d v="2015-04-24T00:00:00"/>
    <s v="Apr"/>
    <x v="1"/>
    <s v="Patrick Thomas"/>
    <s v="Grains/Cereals"/>
    <s v="Blue"/>
    <n v="4.5"/>
    <n v="5"/>
    <n v="22.5"/>
  </r>
  <r>
    <d v="2015-04-25T00:00:00"/>
    <s v="Apr"/>
    <x v="0"/>
    <s v="Neil Smith"/>
    <s v="Beverages"/>
    <s v="Red"/>
    <n v="38"/>
    <n v="4"/>
    <n v="152"/>
  </r>
  <r>
    <d v="2015-04-29T00:00:00"/>
    <s v="Apr"/>
    <x v="1"/>
    <s v="Andre Gomez"/>
    <s v="Beverages"/>
    <s v="Red"/>
    <n v="31"/>
    <n v="2"/>
    <n v="62"/>
  </r>
  <r>
    <d v="2015-04-30T00:00:00"/>
    <s v="Apr"/>
    <x v="1"/>
    <s v="Jenny Paul"/>
    <s v="Condiments"/>
    <s v="Blue"/>
    <n v="25.89"/>
    <n v="1"/>
    <n v="25.89"/>
  </r>
  <r>
    <d v="2015-05-01T00:00:00"/>
    <s v="May"/>
    <x v="1"/>
    <s v="Patrick Thomas"/>
    <s v="Seafood"/>
    <s v="Blue"/>
    <n v="81"/>
    <n v="15"/>
    <n v="1215"/>
  </r>
  <r>
    <d v="2015-05-01T00:00:00"/>
    <s v="May"/>
    <x v="1"/>
    <s v="Neil Smith"/>
    <s v="Confections"/>
    <s v="Red"/>
    <n v="22"/>
    <n v="5"/>
    <n v="110"/>
  </r>
  <r>
    <d v="2015-05-06T00:00:00"/>
    <s v="May"/>
    <x v="0"/>
    <s v="Andre Gomez"/>
    <s v="Dairy Products"/>
    <s v="Blue"/>
    <n v="25.89"/>
    <n v="1"/>
    <n v="25.89"/>
  </r>
  <r>
    <d v="2015-05-08T00:00:00"/>
    <s v="May"/>
    <x v="1"/>
    <s v="Jenny Paul"/>
    <s v="Beverages"/>
    <s v="Red"/>
    <n v="55"/>
    <n v="15"/>
    <n v="825"/>
  </r>
  <r>
    <d v="2015-05-12T00:00:00"/>
    <s v="May"/>
    <x v="1"/>
    <s v="Patrick Thomas"/>
    <s v="Seafood"/>
    <s v="Blue"/>
    <n v="13.25"/>
    <n v="2"/>
    <n v="26.5"/>
  </r>
  <r>
    <d v="2015-05-14T00:00:00"/>
    <s v="May"/>
    <x v="0"/>
    <s v="Neil Smith"/>
    <s v="Seafood"/>
    <s v="Red"/>
    <n v="12.5"/>
    <n v="5"/>
    <n v="62.5"/>
  </r>
  <r>
    <d v="2015-05-15T00:00:00"/>
    <s v="May"/>
    <x v="0"/>
    <s v="Andre Gomez"/>
    <s v="Dairy Products"/>
    <s v="Blue"/>
    <n v="21.5"/>
    <n v="9"/>
    <n v="193.5"/>
  </r>
  <r>
    <d v="2015-05-16T00:00:00"/>
    <s v="May"/>
    <x v="0"/>
    <s v="Jenny Paul"/>
    <s v="Confections"/>
    <s v="Red"/>
    <n v="21.5"/>
    <n v="36"/>
    <n v="774"/>
  </r>
  <r>
    <d v="2015-05-19T00:00:00"/>
    <s v="May"/>
    <x v="0"/>
    <s v="Patrick Thomas"/>
    <s v="Dairy Products"/>
    <s v="Red"/>
    <n v="1"/>
    <n v="6"/>
    <n v="6"/>
  </r>
  <r>
    <d v="2015-05-19T00:00:00"/>
    <s v="May"/>
    <x v="0"/>
    <s v="Neil Smith"/>
    <s v="Condiments"/>
    <s v="Red"/>
    <n v="7.45"/>
    <n v="24"/>
    <n v="178.8"/>
  </r>
  <r>
    <d v="2015-05-21T00:00:00"/>
    <s v="May"/>
    <x v="1"/>
    <s v="Andre Gomez"/>
    <s v="Beverages"/>
    <s v="Blue"/>
    <n v="49.3"/>
    <n v="4"/>
    <n v="197.2"/>
  </r>
  <r>
    <d v="2015-05-23T00:00:00"/>
    <s v="May"/>
    <x v="1"/>
    <s v="Jenny Paul"/>
    <s v="Produce"/>
    <s v="Green"/>
    <n v="12.5"/>
    <n v="55"/>
    <n v="687.5"/>
  </r>
  <r>
    <d v="2015-05-23T00:00:00"/>
    <s v="May"/>
    <x v="1"/>
    <s v="Patrick Thomas"/>
    <s v="Confections"/>
    <s v="Green"/>
    <n v="7.75"/>
    <n v="3"/>
    <n v="23.25"/>
  </r>
  <r>
    <d v="2015-05-29T00:00:00"/>
    <s v="May"/>
    <x v="1"/>
    <s v="Neil Smith"/>
    <s v="Beverages"/>
    <s v="Blue"/>
    <n v="53"/>
    <n v="2"/>
    <n v="106"/>
  </r>
  <r>
    <d v="2015-06-02T00:00:00"/>
    <s v="Jun"/>
    <x v="0"/>
    <s v="Andre Gomez"/>
    <s v="Confections"/>
    <s v="Green"/>
    <n v="7"/>
    <n v="3"/>
    <n v="21"/>
  </r>
  <r>
    <d v="2015-06-04T00:00:00"/>
    <s v="Jun"/>
    <x v="0"/>
    <s v="Jenny Paul"/>
    <s v="Meat/Poultry"/>
    <s v="Green"/>
    <n v="9.65"/>
    <n v="12"/>
    <n v="115.80000000000001"/>
  </r>
  <r>
    <d v="2015-06-04T00:00:00"/>
    <s v="Jun"/>
    <x v="0"/>
    <s v="Patrick Thomas"/>
    <s v="Grains/Cereals"/>
    <s v="Blue"/>
    <n v="2.5"/>
    <n v="2"/>
    <n v="5"/>
  </r>
  <r>
    <d v="2015-06-09T00:00:00"/>
    <s v="Jun"/>
    <x v="1"/>
    <s v="Neil Smith"/>
    <s v="Dairy Products"/>
    <s v="Blue"/>
    <n v="55"/>
    <n v="4"/>
    <n v="220"/>
  </r>
  <r>
    <d v="2015-06-18T00:00:00"/>
    <s v="Jun"/>
    <x v="1"/>
    <s v="Andre Gomez"/>
    <s v="Dairy Products"/>
    <s v="Red"/>
    <n v="33.25"/>
    <n v="6"/>
    <n v="199.5"/>
  </r>
  <r>
    <d v="2015-06-18T00:00:00"/>
    <s v="Jun"/>
    <x v="1"/>
    <s v="Jenny Paul"/>
    <s v="Beverages"/>
    <s v="Green"/>
    <n v="2.5"/>
    <n v="14"/>
    <n v="35"/>
  </r>
  <r>
    <d v="2015-06-19T00:00:00"/>
    <s v="Jun"/>
    <x v="1"/>
    <s v="Patrick Thomas"/>
    <s v="Grains/Cereals"/>
    <s v="Green"/>
    <n v="39"/>
    <n v="18"/>
    <n v="702"/>
  </r>
  <r>
    <d v="2015-06-19T00:00:00"/>
    <s v="Jun"/>
    <x v="1"/>
    <s v="Neil Smith"/>
    <s v="Meat/Poultry"/>
    <s v="Green"/>
    <n v="34"/>
    <n v="24"/>
    <n v="816"/>
  </r>
  <r>
    <d v="2015-06-30T00:00:00"/>
    <s v="Jun"/>
    <x v="0"/>
    <s v="Andre Gomez"/>
    <s v="Dairy Products"/>
    <s v="Red"/>
    <n v="18"/>
    <n v="2"/>
    <n v="36"/>
  </r>
  <r>
    <d v="2015-07-02T00:00:00"/>
    <s v="Jul"/>
    <x v="0"/>
    <s v="Jenny Paul"/>
    <s v="Grains/Cereals"/>
    <s v="Blue"/>
    <n v="3"/>
    <n v="1"/>
    <n v="3"/>
  </r>
  <r>
    <d v="2015-07-02T00:00:00"/>
    <s v="Jul"/>
    <x v="0"/>
    <s v="Patrick Thomas"/>
    <s v="Beverages"/>
    <s v="Blue"/>
    <n v="13"/>
    <n v="6"/>
    <n v="78"/>
  </r>
  <r>
    <d v="2015-07-07T00:00:00"/>
    <s v="Jul"/>
    <x v="0"/>
    <s v="Neil Smith"/>
    <s v="Condiments"/>
    <s v="Blue"/>
    <n v="13.25"/>
    <n v="3"/>
    <n v="39.75"/>
  </r>
  <r>
    <d v="2015-07-10T00:00:00"/>
    <s v="Jul"/>
    <x v="0"/>
    <s v="Andre Gomez"/>
    <s v="Condiments"/>
    <s v="Red"/>
    <n v="55"/>
    <n v="35"/>
    <n v="1925"/>
  </r>
  <r>
    <d v="2015-07-11T00:00:00"/>
    <s v="Jul"/>
    <x v="1"/>
    <s v="Jenny Paul"/>
    <s v="Grains/Cereals"/>
    <s v="Green"/>
    <n v="12.75"/>
    <n v="6"/>
    <n v="76.5"/>
  </r>
  <r>
    <d v="2015-07-16T00:00:00"/>
    <s v="Jul"/>
    <x v="1"/>
    <s v="Patrick Thomas"/>
    <s v="Dairy Products"/>
    <s v="Red"/>
    <n v="21"/>
    <n v="48"/>
    <n v="1008"/>
  </r>
  <r>
    <d v="2015-07-18T00:00:00"/>
    <s v="Jul"/>
    <x v="1"/>
    <s v="Neil Smith"/>
    <s v="Grains/Cereals"/>
    <s v="Blue"/>
    <n v="34.799999999999997"/>
    <n v="12"/>
    <n v="417.59999999999997"/>
  </r>
  <r>
    <d v="2015-07-22T00:00:00"/>
    <s v="Jul"/>
    <x v="0"/>
    <s v="Andre Gomez"/>
    <s v="Seafood"/>
    <s v="Red"/>
    <n v="18"/>
    <n v="3"/>
    <n v="54"/>
  </r>
  <r>
    <d v="2015-07-23T00:00:00"/>
    <s v="Jul"/>
    <x v="0"/>
    <s v="Jenny Paul"/>
    <s v="Grains/Cereals"/>
    <s v="Blue"/>
    <n v="31"/>
    <n v="1"/>
    <n v="31"/>
  </r>
  <r>
    <d v="2015-07-24T00:00:00"/>
    <s v="Jul"/>
    <x v="0"/>
    <s v="Patrick Thomas"/>
    <s v="Beverages"/>
    <s v="Blue"/>
    <n v="34"/>
    <n v="15"/>
    <n v="510"/>
  </r>
  <r>
    <d v="2015-07-25T00:00:00"/>
    <s v="Jul"/>
    <x v="0"/>
    <s v="Neil Smith"/>
    <s v="Dairy Products"/>
    <s v="Red"/>
    <n v="31"/>
    <n v="7"/>
    <n v="217"/>
  </r>
  <r>
    <d v="2015-07-28T00:00:00"/>
    <s v="Jul"/>
    <x v="0"/>
    <s v="Andre Gomez"/>
    <s v="Beverages"/>
    <s v="Green"/>
    <n v="21"/>
    <n v="14"/>
    <n v="294"/>
  </r>
  <r>
    <d v="2015-07-29T00:00:00"/>
    <s v="Jul"/>
    <x v="0"/>
    <s v="Jenny Paul"/>
    <s v="Seafood"/>
    <s v="Green"/>
    <n v="7.75"/>
    <n v="4"/>
    <n v="31"/>
  </r>
  <r>
    <d v="2015-07-29T00:00:00"/>
    <s v="Jul"/>
    <x v="0"/>
    <s v="Patrick Thomas"/>
    <s v="Dairy Products"/>
    <s v="Red"/>
    <n v="24"/>
    <n v="5"/>
    <n v="120"/>
  </r>
  <r>
    <d v="2015-07-30T00:00:00"/>
    <s v="Jul"/>
    <x v="0"/>
    <s v="Neil Smith"/>
    <s v="Meat/Poultry"/>
    <s v="Blue"/>
    <n v="38"/>
    <n v="2"/>
    <n v="76"/>
  </r>
  <r>
    <d v="2015-08-07T00:00:00"/>
    <s v="Aug"/>
    <x v="0"/>
    <s v="Andre Gomez"/>
    <s v="Produce"/>
    <s v="Red"/>
    <n v="14"/>
    <n v="5"/>
    <n v="70"/>
  </r>
  <r>
    <d v="2015-08-07T00:00:00"/>
    <s v="Aug"/>
    <x v="0"/>
    <s v="Jenny Paul"/>
    <s v="Confections"/>
    <s v="Red"/>
    <n v="21.5"/>
    <n v="2"/>
    <n v="43"/>
  </r>
  <r>
    <d v="2015-08-08T00:00:00"/>
    <s v="Aug"/>
    <x v="0"/>
    <s v="Patrick Thomas"/>
    <s v="Grains/Cereals"/>
    <s v="Red"/>
    <n v="53"/>
    <n v="15"/>
    <n v="795"/>
  </r>
  <r>
    <d v="2015-08-15T00:00:00"/>
    <s v="Aug"/>
    <x v="0"/>
    <s v="Neil Smith"/>
    <s v="Produce"/>
    <s v="Green"/>
    <n v="13.25"/>
    <n v="6"/>
    <n v="79.5"/>
  </r>
  <r>
    <d v="2015-08-21T00:00:00"/>
    <s v="Aug"/>
    <x v="0"/>
    <s v="Andre Gomez"/>
    <s v="Dairy Products"/>
    <s v="Red"/>
    <n v="19"/>
    <n v="5"/>
    <n v="95"/>
  </r>
  <r>
    <d v="2015-08-22T00:00:00"/>
    <s v="Aug"/>
    <x v="0"/>
    <s v="Jenny Paul"/>
    <s v="Confections"/>
    <s v="Green"/>
    <n v="18.399999999999999"/>
    <n v="6"/>
    <n v="110.39999999999999"/>
  </r>
  <r>
    <d v="2015-08-22T00:00:00"/>
    <s v="Aug"/>
    <x v="0"/>
    <s v="Patrick Thomas"/>
    <s v="Beverages"/>
    <s v="Green"/>
    <n v="62.5"/>
    <n v="4"/>
    <n v="250"/>
  </r>
  <r>
    <d v="2015-08-25T00:00:00"/>
    <s v="Aug"/>
    <x v="0"/>
    <s v="Neil Smith"/>
    <s v="Seafood"/>
    <s v="Green"/>
    <n v="31"/>
    <n v="18"/>
    <n v="558"/>
  </r>
  <r>
    <d v="2015-08-27T00:00:00"/>
    <s v="Aug"/>
    <x v="0"/>
    <s v="Andre Gomez"/>
    <s v="Beverages"/>
    <s v="Blue"/>
    <n v="32.799999999999997"/>
    <n v="25"/>
    <n v="819.99999999999989"/>
  </r>
  <r>
    <d v="2015-08-28T00:00:00"/>
    <s v="Aug"/>
    <x v="0"/>
    <s v="Jenny Paul"/>
    <s v="Grains/Cereals"/>
    <s v="Blue"/>
    <n v="25.89"/>
    <n v="3"/>
    <n v="77.67"/>
  </r>
  <r>
    <d v="2015-08-29T00:00:00"/>
    <s v="Aug"/>
    <x v="0"/>
    <s v="Patrick Thomas"/>
    <s v="Meat/Poultry"/>
    <s v="Green"/>
    <n v="25.89"/>
    <n v="2"/>
    <n v="51.78"/>
  </r>
  <r>
    <d v="2015-09-01T00:00:00"/>
    <s v="Sep"/>
    <x v="0"/>
    <s v="Neil Smith"/>
    <s v="Seafood"/>
    <s v="Red"/>
    <n v="18"/>
    <n v="2"/>
    <n v="36"/>
  </r>
  <r>
    <d v="2015-09-08T00:00:00"/>
    <s v="Sep"/>
    <x v="0"/>
    <s v="Andre Gomez"/>
    <s v="Confections"/>
    <s v="Green"/>
    <n v="12.5"/>
    <n v="1"/>
    <n v="12.5"/>
  </r>
  <r>
    <d v="2015-09-09T00:00:00"/>
    <s v="Sep"/>
    <x v="0"/>
    <s v="Jenny Paul"/>
    <s v="Beverages"/>
    <s v="Blue"/>
    <n v="53"/>
    <n v="2"/>
    <n v="106"/>
  </r>
  <r>
    <d v="2015-09-09T00:00:00"/>
    <s v="Sep"/>
    <x v="0"/>
    <s v="Patrick Thomas"/>
    <s v="Confections"/>
    <s v="Blue"/>
    <n v="31"/>
    <n v="24"/>
    <n v="744"/>
  </r>
  <r>
    <d v="2015-09-10T00:00:00"/>
    <s v="Sep"/>
    <x v="0"/>
    <s v="Neil Smith"/>
    <s v="Seafood"/>
    <s v="Blue"/>
    <n v="36"/>
    <n v="45"/>
    <n v="1620"/>
  </r>
  <r>
    <d v="2015-09-17T00:00:00"/>
    <s v="Sep"/>
    <x v="0"/>
    <s v="Andre Gomez"/>
    <s v="Confections"/>
    <s v="Blue"/>
    <n v="31.23"/>
    <n v="3"/>
    <n v="93.69"/>
  </r>
  <r>
    <d v="2015-09-22T00:00:00"/>
    <s v="Sep"/>
    <x v="0"/>
    <s v="Jenny Paul"/>
    <s v="Dairy Products"/>
    <s v="Blue"/>
    <n v="55"/>
    <n v="12"/>
    <n v="660"/>
  </r>
  <r>
    <d v="2015-09-22T00:00:00"/>
    <s v="Sep"/>
    <x v="0"/>
    <s v="Patrick Thomas"/>
    <s v="Confections"/>
    <s v="Red"/>
    <n v="38"/>
    <n v="1"/>
    <n v="38"/>
  </r>
  <r>
    <d v="2015-09-23T00:00:00"/>
    <s v="Sep"/>
    <x v="0"/>
    <s v="Neil Smith"/>
    <s v="Dairy Products"/>
    <s v="Red"/>
    <n v="9.1999999999999993"/>
    <n v="3"/>
    <n v="27.599999999999998"/>
  </r>
  <r>
    <d v="2015-09-26T00:00:00"/>
    <s v="Sep"/>
    <x v="0"/>
    <s v="Andre Gomez"/>
    <s v="Grains/Cereals"/>
    <s v="Green"/>
    <n v="31"/>
    <n v="2"/>
    <n v="62"/>
  </r>
  <r>
    <d v="2015-09-29T00:00:00"/>
    <s v="Sep"/>
    <x v="0"/>
    <s v="Jenny Paul"/>
    <s v="Confections"/>
    <s v="Green"/>
    <n v="19"/>
    <n v="6"/>
    <n v="114"/>
  </r>
  <r>
    <d v="2015-09-29T00:00:00"/>
    <s v="Sep"/>
    <x v="0"/>
    <s v="Patrick Thomas"/>
    <s v="Seafood"/>
    <s v="Red"/>
    <n v="97"/>
    <n v="5"/>
    <n v="485"/>
  </r>
  <r>
    <d v="2015-09-30T00:00:00"/>
    <s v="Sep"/>
    <x v="0"/>
    <s v="Neil Smith"/>
    <s v="Meat/Poultry"/>
    <s v="Red"/>
    <n v="7.45"/>
    <n v="6"/>
    <n v="44.7"/>
  </r>
  <r>
    <d v="2015-10-07T00:00:00"/>
    <s v="Oct"/>
    <x v="0"/>
    <s v="Andre Gomez"/>
    <s v="Dairy Products"/>
    <s v="Blue"/>
    <n v="13.25"/>
    <n v="3"/>
    <n v="39.75"/>
  </r>
  <r>
    <d v="2015-10-08T00:00:00"/>
    <s v="Oct"/>
    <x v="0"/>
    <s v="Jenny Paul"/>
    <s v="Meat/Poultry"/>
    <s v="Green"/>
    <n v="14"/>
    <n v="12"/>
    <n v="168"/>
  </r>
  <r>
    <d v="2015-10-08T00:00:00"/>
    <s v="Oct"/>
    <x v="0"/>
    <s v="Patrick Thomas"/>
    <s v="Seafood"/>
    <s v="Red"/>
    <n v="12.5"/>
    <n v="4"/>
    <n v="50"/>
  </r>
  <r>
    <d v="2015-10-10T00:00:00"/>
    <s v="Oct"/>
    <x v="0"/>
    <s v="Neil Smith"/>
    <s v="Confections"/>
    <s v="Green"/>
    <n v="19"/>
    <n v="5"/>
    <n v="95"/>
  </r>
  <r>
    <d v="2015-10-17T00:00:00"/>
    <s v="Oct"/>
    <x v="0"/>
    <s v="Andre Gomez"/>
    <s v="Dairy Products"/>
    <s v="Blue"/>
    <n v="31"/>
    <n v="18"/>
    <n v="558"/>
  </r>
  <r>
    <d v="2015-10-17T00:00:00"/>
    <s v="Oct"/>
    <x v="0"/>
    <s v="Jenny Paul"/>
    <s v="Produce"/>
    <s v="Green"/>
    <n v="12"/>
    <n v="24"/>
    <n v="288"/>
  </r>
  <r>
    <d v="2015-10-22T00:00:00"/>
    <s v="Oct"/>
    <x v="0"/>
    <s v="Patrick Thomas"/>
    <s v="Seafood"/>
    <s v="Green"/>
    <n v="39"/>
    <n v="27"/>
    <n v="1053"/>
  </r>
  <r>
    <d v="2015-10-22T00:00:00"/>
    <s v="Oct"/>
    <x v="0"/>
    <s v="Neil Smith"/>
    <s v="Meat/Poultry"/>
    <s v="Red"/>
    <n v="53"/>
    <n v="7"/>
    <n v="371"/>
  </r>
  <r>
    <d v="2015-10-24T00:00:00"/>
    <s v="Oct"/>
    <x v="0"/>
    <s v="Andre Gomez"/>
    <s v="Meat/Poultry"/>
    <s v="Red"/>
    <n v="17.45"/>
    <n v="2"/>
    <n v="34.9"/>
  </r>
  <r>
    <d v="2015-10-24T00:00:00"/>
    <s v="Oct"/>
    <x v="0"/>
    <s v="Jenny Paul"/>
    <s v="Dairy Products"/>
    <s v="Red"/>
    <n v="19"/>
    <n v="4"/>
    <n v="76"/>
  </r>
  <r>
    <d v="2015-10-27T00:00:00"/>
    <s v="Oct"/>
    <x v="0"/>
    <s v="Patrick Thomas"/>
    <s v="Confections"/>
    <s v="Green"/>
    <n v="21.5"/>
    <n v="8"/>
    <n v="172"/>
  </r>
  <r>
    <d v="2015-10-28T00:00:00"/>
    <s v="Oct"/>
    <x v="0"/>
    <s v="Neil Smith"/>
    <s v="Dairy Products"/>
    <s v="Red"/>
    <n v="7.75"/>
    <n v="42"/>
    <n v="325.5"/>
  </r>
  <r>
    <d v="2015-10-29T00:00:00"/>
    <s v="Oct"/>
    <x v="0"/>
    <s v="Andre Gomez"/>
    <s v="Condiments"/>
    <s v="Green"/>
    <n v="9.65"/>
    <n v="12"/>
    <n v="115.80000000000001"/>
  </r>
  <r>
    <d v="2015-10-31T00:00:00"/>
    <s v="Oct"/>
    <x v="0"/>
    <s v="Jenny Paul"/>
    <s v="Meat/Poultry"/>
    <s v="Blue"/>
    <n v="21"/>
    <n v="5"/>
    <n v="105"/>
  </r>
  <r>
    <d v="2015-10-31T00:00:00"/>
    <s v="Oct"/>
    <x v="0"/>
    <s v="Patrick Thomas"/>
    <s v="Seafood"/>
    <s v="Blue"/>
    <n v="12.5"/>
    <n v="3"/>
    <n v="37.5"/>
  </r>
  <r>
    <d v="2015-11-05T00:00:00"/>
    <s v="Nov"/>
    <x v="0"/>
    <s v="Neil Smith"/>
    <s v="Dairy Products"/>
    <s v="Red"/>
    <n v="17.45"/>
    <n v="15"/>
    <n v="261.75"/>
  </r>
  <r>
    <d v="2015-11-07T00:00:00"/>
    <s v="Nov"/>
    <x v="0"/>
    <s v="Andre Gomez"/>
    <s v="Produce"/>
    <s v="Green"/>
    <n v="6"/>
    <n v="4"/>
    <n v="24"/>
  </r>
  <r>
    <d v="2015-11-07T00:00:00"/>
    <s v="Nov"/>
    <x v="0"/>
    <s v="Jenny Paul"/>
    <s v="Beverages"/>
    <s v="Blue"/>
    <n v="38"/>
    <n v="14"/>
    <n v="532"/>
  </r>
  <r>
    <d v="2015-11-11T00:00:00"/>
    <s v="Nov"/>
    <x v="0"/>
    <s v="Patrick Thomas"/>
    <s v="Seafood"/>
    <s v="Blue"/>
    <n v="9.5"/>
    <n v="4"/>
    <n v="38"/>
  </r>
  <r>
    <d v="2015-11-13T00:00:00"/>
    <s v="Nov"/>
    <x v="0"/>
    <s v="Neil Smith"/>
    <s v="Seafood"/>
    <s v="Green"/>
    <n v="18.399999999999999"/>
    <n v="5"/>
    <n v="92"/>
  </r>
  <r>
    <d v="2015-11-19T00:00:00"/>
    <s v="Nov"/>
    <x v="0"/>
    <s v="Andre Gomez"/>
    <s v="Seafood"/>
    <s v="Blue"/>
    <n v="25.89"/>
    <n v="3"/>
    <n v="77.67"/>
  </r>
  <r>
    <d v="2015-11-20T00:00:00"/>
    <s v="Nov"/>
    <x v="0"/>
    <s v="Jenny Paul"/>
    <s v="Dairy Products"/>
    <s v="Red"/>
    <n v="36"/>
    <n v="25"/>
    <n v="900"/>
  </r>
  <r>
    <d v="2015-11-24T00:00:00"/>
    <s v="Nov"/>
    <x v="0"/>
    <s v="Patrick Thomas"/>
    <s v="Seafood"/>
    <s v="Blue"/>
    <n v="49.3"/>
    <n v="3"/>
    <n v="147.89999999999998"/>
  </r>
  <r>
    <d v="2015-11-27T00:00:00"/>
    <s v="Nov"/>
    <x v="0"/>
    <s v="Neil Smith"/>
    <s v="Confections"/>
    <s v="Green"/>
    <n v="14"/>
    <n v="12"/>
    <n v="168"/>
  </r>
  <r>
    <d v="2015-12-01T00:00:00"/>
    <s v="Dec"/>
    <x v="0"/>
    <s v="Andre Gomez"/>
    <s v="Confections"/>
    <s v="Red"/>
    <n v="49.3"/>
    <n v="15"/>
    <n v="739.5"/>
  </r>
  <r>
    <d v="2015-12-03T00:00:00"/>
    <s v="Dec"/>
    <x v="0"/>
    <s v="Jenny Paul"/>
    <s v="Beverages"/>
    <s v="Red"/>
    <n v="39"/>
    <n v="33"/>
    <n v="1287"/>
  </r>
  <r>
    <d v="2015-12-08T00:00:00"/>
    <s v="Dec"/>
    <x v="0"/>
    <s v="Patrick Thomas"/>
    <s v="Confections"/>
    <s v="Green"/>
    <n v="12.5"/>
    <n v="72"/>
    <n v="900"/>
  </r>
  <r>
    <d v="2015-12-11T00:00:00"/>
    <s v="Dec"/>
    <x v="0"/>
    <s v="Neil Smith"/>
    <s v="Dairy Products"/>
    <s v="Red"/>
    <n v="12.5"/>
    <n v="16"/>
    <n v="200"/>
  </r>
  <r>
    <d v="2015-12-16T00:00:00"/>
    <s v="Dec"/>
    <x v="0"/>
    <s v="Andre Gomez"/>
    <s v="Condiments"/>
    <s v="Green"/>
    <n v="1"/>
    <n v="35"/>
    <n v="35"/>
  </r>
  <r>
    <d v="2015-12-16T00:00:00"/>
    <s v="Dec"/>
    <x v="0"/>
    <s v="Jenny Paul"/>
    <s v="Confections"/>
    <s v="Blue"/>
    <n v="18"/>
    <n v="2"/>
    <n v="36"/>
  </r>
  <r>
    <d v="2015-12-17T00:00:00"/>
    <s v="Dec"/>
    <x v="0"/>
    <s v="Patrick Thomas"/>
    <s v="Produce"/>
    <s v="Blue"/>
    <n v="263.5"/>
    <n v="5"/>
    <n v="1317.5"/>
  </r>
  <r>
    <d v="2015-12-18T00:00:00"/>
    <s v="Dec"/>
    <x v="0"/>
    <s v="Neil Smith"/>
    <s v="Beverages"/>
    <s v="Green"/>
    <n v="34.799999999999997"/>
    <n v="3"/>
    <n v="104.39999999999999"/>
  </r>
  <r>
    <d v="2015-12-22T00:00:00"/>
    <s v="Dec"/>
    <x v="0"/>
    <s v="Andre Gomez"/>
    <s v="Confections"/>
    <s v="Red"/>
    <n v="62.5"/>
    <n v="3"/>
    <n v="187.5"/>
  </r>
  <r>
    <d v="2015-12-22T00:00:00"/>
    <s v="Dec"/>
    <x v="0"/>
    <s v="Jenny Paul"/>
    <s v="Grains/Cereals"/>
    <s v="Red"/>
    <n v="7.75"/>
    <n v="4"/>
    <n v="31"/>
  </r>
  <r>
    <d v="2015-12-22T00:00:00"/>
    <s v="Dec"/>
    <x v="0"/>
    <s v="Patrick Thomas"/>
    <s v="Seafood"/>
    <s v="Blue"/>
    <n v="12.5"/>
    <n v="15"/>
    <n v="187.5"/>
  </r>
  <r>
    <d v="2015-12-23T00:00:00"/>
    <s v="Dec"/>
    <x v="0"/>
    <s v="Neil Smith"/>
    <s v="Confections"/>
    <s v="Green"/>
    <n v="19.45"/>
    <n v="1"/>
    <n v="19.45"/>
  </r>
  <r>
    <d v="2015-12-26T00:00:00"/>
    <s v="Dec"/>
    <x v="0"/>
    <s v="Andre Gomez"/>
    <s v="Meat/Poultry"/>
    <s v="Blue"/>
    <n v="21"/>
    <n v="5"/>
    <n v="105"/>
  </r>
  <r>
    <d v="2015-12-26T00:00:00"/>
    <s v="Dec"/>
    <x v="0"/>
    <s v="Jenny Paul"/>
    <s v="Seafood"/>
    <s v="Green"/>
    <n v="24"/>
    <n v="6"/>
    <n v="144"/>
  </r>
  <r>
    <d v="2015-12-26T00:00:00"/>
    <s v="Dec"/>
    <x v="0"/>
    <s v="Patrick Thomas"/>
    <s v="Dairy Products"/>
    <s v="Green"/>
    <n v="263.5"/>
    <n v="1"/>
    <n v="263.5"/>
  </r>
  <r>
    <d v="2015-12-30T00:00:00"/>
    <s v="Dec"/>
    <x v="0"/>
    <s v="Neil Smith"/>
    <s v="Beverages"/>
    <s v="Green"/>
    <n v="31"/>
    <n v="36"/>
    <n v="1116"/>
  </r>
  <r>
    <d v="2015-12-31T00:00:00"/>
    <s v="Dec"/>
    <x v="0"/>
    <s v="Andre Gomez"/>
    <s v="Produce"/>
    <s v="Red"/>
    <n v="16"/>
    <n v="3"/>
    <n v="48"/>
  </r>
  <r>
    <d v="2015-01-06T00:00:00"/>
    <s v="Jan"/>
    <x v="2"/>
    <s v="David Oxford"/>
    <s v="Condiments"/>
    <s v="Red"/>
    <n v="5.9"/>
    <n v="6"/>
    <n v="35.400000000000006"/>
  </r>
  <r>
    <d v="2015-01-13T00:00:00"/>
    <s v="Jan"/>
    <x v="2"/>
    <s v="David Oxford"/>
    <s v="Produce"/>
    <s v="Green"/>
    <n v="39.4"/>
    <n v="4"/>
    <n v="157.6"/>
  </r>
  <r>
    <d v="2015-01-17T00:00:00"/>
    <s v="Jan"/>
    <x v="2"/>
    <s v="David Oxford"/>
    <s v="Confections"/>
    <s v="Green"/>
    <n v="27.2"/>
    <n v="6"/>
    <n v="163.19999999999999"/>
  </r>
  <r>
    <d v="2015-01-30T00:00:00"/>
    <s v="Jan"/>
    <x v="2"/>
    <s v="David Oxford"/>
    <s v="Seafood"/>
    <s v="Green"/>
    <n v="3.4"/>
    <n v="28"/>
    <n v="95.2"/>
  </r>
  <r>
    <d v="2015-02-07T00:00:00"/>
    <s v="Feb"/>
    <x v="2"/>
    <s v="David Oxford"/>
    <s v="Confections"/>
    <s v="Blue"/>
    <n v="99"/>
    <n v="24"/>
    <n v="2376"/>
  </r>
  <r>
    <d v="2015-02-17T00:00:00"/>
    <s v="Feb"/>
    <x v="2"/>
    <s v="David Oxford"/>
    <s v="Seafood"/>
    <s v="Blue"/>
    <n v="2"/>
    <n v="2"/>
    <n v="4"/>
  </r>
  <r>
    <d v="2015-03-04T00:00:00"/>
    <s v="Mar"/>
    <x v="2"/>
    <s v="David Oxford"/>
    <s v="Dairy Products"/>
    <s v="Blue"/>
    <n v="3.6"/>
    <n v="25"/>
    <n v="90"/>
  </r>
  <r>
    <d v="2015-03-10T00:00:00"/>
    <s v="Mar"/>
    <x v="2"/>
    <s v="David Oxford"/>
    <s v="Condiments"/>
    <s v="Red"/>
    <n v="24"/>
    <n v="3"/>
    <n v="72"/>
  </r>
  <r>
    <d v="2015-03-14T00:00:00"/>
    <s v="Mar"/>
    <x v="2"/>
    <s v="David Oxford"/>
    <s v="Condiments"/>
    <s v="Blue"/>
    <n v="8"/>
    <n v="21"/>
    <n v="168"/>
  </r>
  <r>
    <d v="2015-03-20T00:00:00"/>
    <s v="Mar"/>
    <x v="2"/>
    <s v="David Oxford"/>
    <s v="Dairy Products"/>
    <s v="Green"/>
    <n v="1.4"/>
    <n v="3"/>
    <n v="4.1999999999999993"/>
  </r>
  <r>
    <d v="2015-04-01T00:00:00"/>
    <s v="Apr"/>
    <x v="2"/>
    <s v="David Oxford"/>
    <s v="Grains/Cereals"/>
    <s v="Green"/>
    <n v="13.6"/>
    <n v="1"/>
    <n v="13.6"/>
  </r>
  <r>
    <d v="2015-04-11T00:00:00"/>
    <s v="Apr"/>
    <x v="2"/>
    <s v="David Oxford"/>
    <s v="Confections"/>
    <s v="Green"/>
    <n v="18"/>
    <n v="1"/>
    <n v="18"/>
  </r>
  <r>
    <d v="2015-04-22T00:00:00"/>
    <s v="Apr"/>
    <x v="2"/>
    <s v="David Oxford"/>
    <s v="Condiments"/>
    <s v="Green"/>
    <n v="2.5"/>
    <n v="16"/>
    <n v="40"/>
  </r>
  <r>
    <d v="2015-04-30T00:00:00"/>
    <s v="Apr"/>
    <x v="2"/>
    <s v="David Oxford"/>
    <s v="Seafood"/>
    <s v="Green"/>
    <n v="18.399999999999999"/>
    <n v="15"/>
    <n v="276"/>
  </r>
  <r>
    <d v="2015-05-07T00:00:00"/>
    <s v="May"/>
    <x v="2"/>
    <s v="David Oxford"/>
    <s v="Meat/Poultry"/>
    <s v="Blue"/>
    <n v="39"/>
    <n v="4"/>
    <n v="156"/>
  </r>
  <r>
    <d v="2015-05-13T00:00:00"/>
    <s v="May"/>
    <x v="2"/>
    <s v="David Oxford"/>
    <s v="Seafood"/>
    <s v="Red"/>
    <n v="1"/>
    <n v="15"/>
    <n v="15"/>
  </r>
  <r>
    <d v="2015-05-28T00:00:00"/>
    <s v="May"/>
    <x v="2"/>
    <s v="David Oxford"/>
    <s v="Condiments"/>
    <s v="Green"/>
    <n v="36"/>
    <n v="18"/>
    <n v="648"/>
  </r>
  <r>
    <d v="2015-05-30T00:00:00"/>
    <s v="May"/>
    <x v="2"/>
    <s v="David Oxford"/>
    <s v="Confections"/>
    <s v="Blue"/>
    <n v="15"/>
    <n v="3"/>
    <n v="45"/>
  </r>
  <r>
    <d v="2015-06-10T00:00:00"/>
    <s v="Jun"/>
    <x v="2"/>
    <s v="David Oxford"/>
    <s v="Meat/Poultry"/>
    <s v="Blue"/>
    <n v="33.25"/>
    <n v="18"/>
    <n v="598.5"/>
  </r>
  <r>
    <d v="2015-06-19T00:00:00"/>
    <s v="Jun"/>
    <x v="2"/>
    <s v="David Oxford"/>
    <s v="Seafood"/>
    <s v="Red"/>
    <n v="55"/>
    <n v="12"/>
    <n v="660"/>
  </r>
  <r>
    <d v="2015-06-25T00:00:00"/>
    <s v="Jun"/>
    <x v="2"/>
    <s v="David Oxford"/>
    <s v="Beverages"/>
    <s v="Red"/>
    <n v="9.5"/>
    <n v="15"/>
    <n v="142.5"/>
  </r>
  <r>
    <d v="2015-07-07T00:00:00"/>
    <s v="Jul"/>
    <x v="2"/>
    <s v="David Oxford"/>
    <s v="Beverages"/>
    <s v="Green"/>
    <n v="18"/>
    <n v="4"/>
    <n v="72"/>
  </r>
  <r>
    <d v="2015-07-14T00:00:00"/>
    <s v="Jul"/>
    <x v="2"/>
    <s v="David Oxford"/>
    <s v="Dairy Products"/>
    <s v="Red"/>
    <n v="13"/>
    <n v="5"/>
    <n v="65"/>
  </r>
  <r>
    <d v="2015-07-28T00:00:00"/>
    <s v="Jul"/>
    <x v="2"/>
    <s v="David Oxford"/>
    <s v="Confections"/>
    <s v="Green"/>
    <n v="9.1999999999999993"/>
    <n v="5"/>
    <n v="46"/>
  </r>
  <r>
    <d v="2015-08-07T00:00:00"/>
    <s v="Aug"/>
    <x v="2"/>
    <s v="David Oxford"/>
    <s v="Beverages"/>
    <s v="Green"/>
    <n v="24"/>
    <n v="12"/>
    <n v="288"/>
  </r>
  <r>
    <d v="2015-08-18T00:00:00"/>
    <s v="Aug"/>
    <x v="2"/>
    <s v="David Oxford"/>
    <s v="Condiments"/>
    <s v="Red"/>
    <n v="22"/>
    <n v="25"/>
    <n v="550"/>
  </r>
  <r>
    <d v="2015-08-21T00:00:00"/>
    <s v="Aug"/>
    <x v="2"/>
    <s v="David Oxford"/>
    <s v="Beverages"/>
    <s v="Red"/>
    <n v="21.5"/>
    <n v="3"/>
    <n v="64.5"/>
  </r>
  <r>
    <d v="2015-09-04T00:00:00"/>
    <s v="Sep"/>
    <x v="2"/>
    <s v="David Oxford"/>
    <s v="Confections"/>
    <s v="Blue"/>
    <n v="38"/>
    <n v="45"/>
    <n v="1710"/>
  </r>
  <r>
    <d v="2015-09-12T00:00:00"/>
    <s v="Sep"/>
    <x v="2"/>
    <s v="David Oxford"/>
    <s v="Condiments"/>
    <s v="Green"/>
    <n v="123.79"/>
    <n v="36"/>
    <n v="4456.4400000000005"/>
  </r>
  <r>
    <d v="2015-09-16T00:00:00"/>
    <s v="Sep"/>
    <x v="2"/>
    <s v="David Oxford"/>
    <s v="Seafood"/>
    <s v="Green"/>
    <n v="21.5"/>
    <n v="12"/>
    <n v="258"/>
  </r>
  <r>
    <d v="2015-09-23T00:00:00"/>
    <s v="Sep"/>
    <x v="2"/>
    <s v="David Oxford"/>
    <s v="Meat/Poultry"/>
    <s v="Green"/>
    <n v="17"/>
    <n v="4"/>
    <n v="68"/>
  </r>
  <r>
    <d v="2015-10-01T00:00:00"/>
    <s v="Oct"/>
    <x v="2"/>
    <s v="David Oxford"/>
    <s v="Beverages"/>
    <s v="Blue"/>
    <n v="46"/>
    <n v="4"/>
    <n v="184"/>
  </r>
  <r>
    <d v="2015-10-09T00:00:00"/>
    <s v="Oct"/>
    <x v="2"/>
    <s v="David Oxford"/>
    <s v="Meat/Poultry"/>
    <s v="Green"/>
    <n v="21.5"/>
    <n v="65"/>
    <n v="1397.5"/>
  </r>
  <r>
    <d v="2015-10-13T00:00:00"/>
    <s v="Oct"/>
    <x v="2"/>
    <s v="David Oxford"/>
    <s v="Beverages"/>
    <s v="Red"/>
    <n v="12.5"/>
    <n v="2"/>
    <n v="25"/>
  </r>
  <r>
    <d v="2015-10-20T00:00:00"/>
    <s v="Oct"/>
    <x v="2"/>
    <s v="David Oxford"/>
    <s v="Confections"/>
    <s v="Red"/>
    <n v="19"/>
    <n v="3"/>
    <n v="57"/>
  </r>
  <r>
    <d v="2015-11-04T00:00:00"/>
    <s v="Nov"/>
    <x v="2"/>
    <s v="David Oxford"/>
    <s v="Dairy Products"/>
    <s v="Green"/>
    <n v="53"/>
    <n v="3"/>
    <n v="159"/>
  </r>
  <r>
    <d v="2015-11-10T00:00:00"/>
    <s v="Nov"/>
    <x v="2"/>
    <s v="David Oxford"/>
    <s v="Condiments"/>
    <s v="Blue"/>
    <n v="19"/>
    <n v="6"/>
    <n v="114"/>
  </r>
  <r>
    <d v="2015-11-19T00:00:00"/>
    <s v="Nov"/>
    <x v="2"/>
    <s v="David Oxford"/>
    <s v="Condiments"/>
    <s v="Blue"/>
    <n v="38"/>
    <n v="43"/>
    <n v="1634"/>
  </r>
  <r>
    <d v="2015-11-24T00:00:00"/>
    <s v="Nov"/>
    <x v="2"/>
    <s v="David Oxford"/>
    <s v="Beverages"/>
    <s v="Blue"/>
    <n v="55"/>
    <n v="7"/>
    <n v="385"/>
  </r>
  <r>
    <d v="2015-11-28T00:00:00"/>
    <s v="Nov"/>
    <x v="2"/>
    <s v="David Oxford"/>
    <s v="Grains/Cereals"/>
    <s v="Blue"/>
    <n v="7.75"/>
    <n v="18"/>
    <n v="139.5"/>
  </r>
  <r>
    <d v="2015-12-04T00:00:00"/>
    <s v="Dec"/>
    <x v="2"/>
    <s v="David Oxford"/>
    <s v="Condiments"/>
    <s v="Blue"/>
    <n v="19"/>
    <n v="4"/>
    <n v="76"/>
  </r>
  <r>
    <d v="2015-12-15T00:00:00"/>
    <s v="Dec"/>
    <x v="2"/>
    <s v="David Oxford"/>
    <s v="Produce"/>
    <s v="Blue"/>
    <n v="38"/>
    <n v="2"/>
    <n v="76"/>
  </r>
  <r>
    <d v="2015-12-22T00:00:00"/>
    <s v="Dec"/>
    <x v="2"/>
    <s v="David Oxford"/>
    <s v="Produce"/>
    <s v="Blue"/>
    <n v="21"/>
    <n v="2"/>
    <n v="42"/>
  </r>
  <r>
    <d v="2015-12-26T00:00:00"/>
    <s v="Dec"/>
    <x v="2"/>
    <s v="David Oxford"/>
    <s v="Dairy Products"/>
    <s v="Red"/>
    <n v="21.5"/>
    <n v="2"/>
    <n v="43"/>
  </r>
  <r>
    <d v="2015-01-09T00:00:00"/>
    <s v="Jan"/>
    <x v="3"/>
    <s v="Sally Rogers"/>
    <s v="Produce"/>
    <s v="Blue"/>
    <n v="14.4"/>
    <n v="14"/>
    <n v="201.6"/>
  </r>
  <r>
    <d v="2015-01-21T00:00:00"/>
    <s v="Jan"/>
    <x v="3"/>
    <s v="Sally Rogers"/>
    <s v="Seafood"/>
    <s v="Blue"/>
    <n v="26.2"/>
    <n v="15"/>
    <n v="393"/>
  </r>
  <r>
    <d v="2015-01-28T00:00:00"/>
    <s v="Jan"/>
    <x v="3"/>
    <s v="Sally Rogers"/>
    <s v="Seafood"/>
    <s v="Blue"/>
    <n v="7.6"/>
    <n v="3"/>
    <n v="22.799999999999997"/>
  </r>
  <r>
    <d v="2015-02-04T00:00:00"/>
    <s v="Feb"/>
    <x v="3"/>
    <s v="Sally Rogers"/>
    <s v="Dairy Products"/>
    <s v="Blue"/>
    <n v="35.1"/>
    <n v="5"/>
    <n v="175.5"/>
  </r>
  <r>
    <d v="2015-02-17T00:00:00"/>
    <s v="Feb"/>
    <x v="3"/>
    <s v="Sally Rogers"/>
    <s v="Confections"/>
    <s v="Blue"/>
    <n v="16.8"/>
    <n v="28"/>
    <n v="470.40000000000003"/>
  </r>
  <r>
    <d v="2015-02-26T00:00:00"/>
    <s v="Feb"/>
    <x v="3"/>
    <s v="Sally Rogers"/>
    <s v="Produce"/>
    <s v="Blue"/>
    <n v="27.8"/>
    <n v="4"/>
    <n v="111.2"/>
  </r>
  <r>
    <d v="2015-03-05T00:00:00"/>
    <s v="Mar"/>
    <x v="3"/>
    <s v="Sally Rogers"/>
    <s v="Confections"/>
    <s v="Green"/>
    <n v="2.7"/>
    <n v="8"/>
    <n v="21.6"/>
  </r>
  <r>
    <d v="2015-03-14T00:00:00"/>
    <s v="Mar"/>
    <x v="3"/>
    <s v="Sally Rogers"/>
    <s v="Dairy Products"/>
    <s v="Blue"/>
    <n v="19.2"/>
    <n v="2"/>
    <n v="38.4"/>
  </r>
  <r>
    <d v="2015-03-25T00:00:00"/>
    <s v="Mar"/>
    <x v="3"/>
    <s v="Sally Rogers"/>
    <s v="Beverages"/>
    <s v="Green"/>
    <n v="5.9"/>
    <n v="24"/>
    <n v="141.60000000000002"/>
  </r>
  <r>
    <d v="2015-04-02T00:00:00"/>
    <s v="Apr"/>
    <x v="3"/>
    <s v="Sally Rogers"/>
    <s v="Grains/Cereals"/>
    <s v="Green"/>
    <n v="3.4"/>
    <n v="14"/>
    <n v="47.6"/>
  </r>
  <r>
    <d v="2015-04-11T00:00:00"/>
    <s v="Apr"/>
    <x v="3"/>
    <s v="Sally Rogers"/>
    <s v="Condiments"/>
    <s v="Red"/>
    <n v="6"/>
    <n v="1"/>
    <n v="6"/>
  </r>
  <r>
    <d v="2015-04-21T00:00:00"/>
    <s v="Apr"/>
    <x v="3"/>
    <s v="Sally Rogers"/>
    <s v="Dairy Products"/>
    <s v="Red"/>
    <n v="1"/>
    <n v="4"/>
    <n v="4"/>
  </r>
  <r>
    <d v="2015-04-23T00:00:00"/>
    <s v="Apr"/>
    <x v="3"/>
    <s v="Sally Rogers"/>
    <s v="Confections"/>
    <s v="Blue"/>
    <n v="9.65"/>
    <n v="8"/>
    <n v="77.2"/>
  </r>
  <r>
    <d v="2015-05-01T00:00:00"/>
    <s v="May"/>
    <x v="3"/>
    <s v="Sally Rogers"/>
    <s v="Beverages"/>
    <s v="Blue"/>
    <n v="38"/>
    <n v="3"/>
    <n v="114"/>
  </r>
  <r>
    <d v="2015-05-12T00:00:00"/>
    <s v="May"/>
    <x v="3"/>
    <s v="Sally Rogers"/>
    <s v="Seafood"/>
    <s v="Red"/>
    <n v="53"/>
    <n v="6"/>
    <n v="318"/>
  </r>
  <r>
    <d v="2015-05-19T00:00:00"/>
    <s v="May"/>
    <x v="3"/>
    <s v="Sally Rogers"/>
    <s v="Confections"/>
    <s v="Green"/>
    <n v="21"/>
    <n v="1"/>
    <n v="21"/>
  </r>
  <r>
    <d v="2015-05-28T00:00:00"/>
    <s v="May"/>
    <x v="3"/>
    <s v="Sally Rogers"/>
    <s v="Confections"/>
    <s v="Green"/>
    <n v="4.5"/>
    <n v="18"/>
    <n v="81"/>
  </r>
  <r>
    <d v="2015-06-06T00:00:00"/>
    <s v="Jun"/>
    <x v="3"/>
    <s v="Sally Rogers"/>
    <s v="Seafood"/>
    <s v="Blue"/>
    <n v="19"/>
    <n v="25"/>
    <n v="475"/>
  </r>
  <r>
    <d v="2015-06-13T00:00:00"/>
    <s v="Jun"/>
    <x v="3"/>
    <s v="Sally Rogers"/>
    <s v="Seafood"/>
    <s v="Red"/>
    <n v="14"/>
    <n v="28"/>
    <n v="392"/>
  </r>
  <r>
    <d v="2015-06-26T00:00:00"/>
    <s v="Jun"/>
    <x v="3"/>
    <s v="Sally Rogers"/>
    <s v="Condiments"/>
    <s v="Blue"/>
    <n v="19.5"/>
    <n v="4"/>
    <n v="78"/>
  </r>
  <r>
    <d v="2015-07-09T00:00:00"/>
    <s v="Jul"/>
    <x v="3"/>
    <s v="Sally Rogers"/>
    <s v="Confections"/>
    <s v="Blue"/>
    <n v="4.5"/>
    <n v="35"/>
    <n v="157.5"/>
  </r>
  <r>
    <d v="2015-07-21T00:00:00"/>
    <s v="Jul"/>
    <x v="3"/>
    <s v="Sally Rogers"/>
    <s v="Dairy Products"/>
    <s v="Red"/>
    <n v="49.3"/>
    <n v="1"/>
    <n v="49.3"/>
  </r>
  <r>
    <d v="2015-07-28T00:00:00"/>
    <s v="Jul"/>
    <x v="3"/>
    <s v="Sally Rogers"/>
    <s v="Dairy Products"/>
    <s v="Blue"/>
    <n v="1"/>
    <n v="8"/>
    <n v="8"/>
  </r>
  <r>
    <d v="2015-08-07T00:00:00"/>
    <s v="Aug"/>
    <x v="3"/>
    <s v="Sally Rogers"/>
    <s v="Meat/Poultry"/>
    <s v="Blue"/>
    <n v="49.3"/>
    <n v="15"/>
    <n v="739.5"/>
  </r>
  <r>
    <d v="2015-08-15T00:00:00"/>
    <s v="Aug"/>
    <x v="3"/>
    <s v="Sally Rogers"/>
    <s v="Beverages"/>
    <s v="Green"/>
    <n v="62.5"/>
    <n v="5"/>
    <n v="312.5"/>
  </r>
  <r>
    <d v="2015-08-20T00:00:00"/>
    <s v="Aug"/>
    <x v="3"/>
    <s v="Sally Rogers"/>
    <s v="Dairy Products"/>
    <s v="Green"/>
    <n v="18"/>
    <n v="21"/>
    <n v="378"/>
  </r>
  <r>
    <d v="2015-08-29T00:00:00"/>
    <s v="Aug"/>
    <x v="3"/>
    <s v="Sally Rogers"/>
    <s v="Meat/Poultry"/>
    <s v="Blue"/>
    <n v="14"/>
    <n v="2"/>
    <n v="28"/>
  </r>
  <r>
    <d v="2015-09-05T00:00:00"/>
    <s v="Sep"/>
    <x v="3"/>
    <s v="Sally Rogers"/>
    <s v="Dairy Products"/>
    <s v="Red"/>
    <n v="14"/>
    <n v="3"/>
    <n v="42"/>
  </r>
  <r>
    <d v="2015-09-17T00:00:00"/>
    <s v="Sep"/>
    <x v="3"/>
    <s v="Sally Rogers"/>
    <s v="Beverages"/>
    <s v="Blue"/>
    <n v="13.25"/>
    <n v="3"/>
    <n v="39.75"/>
  </r>
  <r>
    <d v="2015-09-29T00:00:00"/>
    <s v="Sep"/>
    <x v="3"/>
    <s v="Sally Rogers"/>
    <s v="Seafood"/>
    <s v="Red"/>
    <n v="14"/>
    <n v="14"/>
    <n v="196"/>
  </r>
  <r>
    <d v="2015-10-07T00:00:00"/>
    <s v="Oct"/>
    <x v="3"/>
    <s v="Sally Rogers"/>
    <s v="Condiments"/>
    <s v="Green"/>
    <n v="9.1999999999999993"/>
    <n v="7"/>
    <n v="64.399999999999991"/>
  </r>
  <r>
    <d v="2015-10-14T00:00:00"/>
    <s v="Oct"/>
    <x v="3"/>
    <s v="Sally Rogers"/>
    <s v="Beverages"/>
    <s v="Red"/>
    <n v="4.5"/>
    <n v="35"/>
    <n v="157.5"/>
  </r>
  <r>
    <d v="2015-10-16T00:00:00"/>
    <s v="Oct"/>
    <x v="3"/>
    <s v="Sally Rogers"/>
    <s v="Beverages"/>
    <s v="Red"/>
    <n v="32.799999999999997"/>
    <n v="123"/>
    <n v="4034.3999999999996"/>
  </r>
  <r>
    <d v="2015-10-23T00:00:00"/>
    <s v="Oct"/>
    <x v="3"/>
    <s v="Sally Rogers"/>
    <s v="Seafood"/>
    <s v="Blue"/>
    <n v="38"/>
    <n v="36"/>
    <n v="1368"/>
  </r>
  <r>
    <d v="2015-10-30T00:00:00"/>
    <s v="Oct"/>
    <x v="3"/>
    <s v="Sally Rogers"/>
    <s v="Seafood"/>
    <s v="Red"/>
    <n v="38"/>
    <n v="1"/>
    <n v="38"/>
  </r>
  <r>
    <d v="2015-11-11T00:00:00"/>
    <s v="Nov"/>
    <x v="3"/>
    <s v="Sally Rogers"/>
    <s v="Beverages"/>
    <s v="Blue"/>
    <n v="34.799999999999997"/>
    <n v="35"/>
    <n v="1218"/>
  </r>
  <r>
    <d v="2015-11-19T00:00:00"/>
    <s v="Nov"/>
    <x v="3"/>
    <s v="Sally Rogers"/>
    <s v="Dairy Products"/>
    <s v="Blue"/>
    <n v="55"/>
    <n v="25"/>
    <n v="1375"/>
  </r>
  <r>
    <d v="2015-11-25T00:00:00"/>
    <s v="Nov"/>
    <x v="3"/>
    <s v="Sally Rogers"/>
    <s v="Produce"/>
    <s v="Green"/>
    <n v="14"/>
    <n v="3"/>
    <n v="42"/>
  </r>
  <r>
    <d v="2015-12-05T00:00:00"/>
    <s v="Dec"/>
    <x v="3"/>
    <s v="Sally Rogers"/>
    <s v="Grains/Cereals"/>
    <s v="Blue"/>
    <n v="28.5"/>
    <n v="2"/>
    <n v="57"/>
  </r>
  <r>
    <d v="2015-12-10T00:00:00"/>
    <s v="Dec"/>
    <x v="3"/>
    <s v="Sally Rogers"/>
    <s v="Meat/Poultry"/>
    <s v="Red"/>
    <n v="31"/>
    <n v="6"/>
    <n v="186"/>
  </r>
  <r>
    <d v="2015-12-19T00:00:00"/>
    <s v="Dec"/>
    <x v="3"/>
    <s v="Sally Rogers"/>
    <s v="Meat/Poultry"/>
    <s v="Red"/>
    <n v="43.9"/>
    <n v="3"/>
    <n v="131.69999999999999"/>
  </r>
  <r>
    <d v="2015-12-24T00:00:00"/>
    <s v="Dec"/>
    <x v="3"/>
    <s v="Sally Rogers"/>
    <s v="Grains/Cereals"/>
    <s v="Red"/>
    <n v="17.45"/>
    <n v="65"/>
    <n v="1134.25"/>
  </r>
  <r>
    <d v="2015-12-30T00:00:00"/>
    <s v="Dec"/>
    <x v="3"/>
    <s v="Sally Rogers"/>
    <s v="Confections"/>
    <s v="Green"/>
    <n v="55"/>
    <n v="15"/>
    <n v="8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C4443-1B0D-4C8F-8396-F87EE1D5DE7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10" firstHeaderRow="1" firstDataRow="1" firstDataCol="1"/>
  <pivotFields count="9">
    <pivotField numFmtId="14"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57ADA-8C31-4F94-9A2B-6B8B501A77D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2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1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4217FB-8937-4772-BA85-8371730C2BE6}" name="Table1" displayName="Table1" ref="A1:I232" totalsRowShown="0">
  <tableColumns count="9">
    <tableColumn id="1" xr3:uid="{0DD89596-D6B8-46F2-AC3F-D16756D9FDD9}" name="Date" dataDxfId="2"/>
    <tableColumn id="10" xr3:uid="{B6BA6B83-77C6-4090-9E99-F46BC444DC4E}" name="Month" dataDxfId="1">
      <calculatedColumnFormula>TEXT(Table1[[#This Row],[Date]],"mmm")</calculatedColumnFormula>
    </tableColumn>
    <tableColumn id="2" xr3:uid="{E3FBB344-8971-4B85-AACC-8F58A6F339AA}" name="Region"/>
    <tableColumn id="3" xr3:uid="{52EA5D6C-6AD0-4C5E-88F7-513583EFDE1F}" name="Sales Rep"/>
    <tableColumn id="4" xr3:uid="{DD3599CB-7A0F-4802-9260-3C57935048DA}" name="Product Category"/>
    <tableColumn id="5" xr3:uid="{EF4938C9-C486-4E7E-81A1-21B589D8C625}" name="Color"/>
    <tableColumn id="6" xr3:uid="{587FF183-A547-453C-B6B8-BC34130CA050}" name="Price"/>
    <tableColumn id="7" xr3:uid="{4FC4E446-D451-4F8E-9B1B-780852683C04}" name="Qty"/>
    <tableColumn id="8" xr3:uid="{5C72DB7F-795D-410E-A86A-2C84985771E2}" name="Revenue" dataDxfId="0">
      <calculatedColumnFormula>Table1[[#This Row],[Price]]*Table1[[#This Row],[Qty]]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EDA1-D802-4184-BAFB-B650A8B4C4F1}">
  <dimension ref="A1:I232"/>
  <sheetViews>
    <sheetView tabSelected="1" topLeftCell="A2" workbookViewId="0">
      <selection sqref="A1:I232"/>
    </sheetView>
  </sheetViews>
  <sheetFormatPr defaultRowHeight="15" x14ac:dyDescent="0.25"/>
  <cols>
    <col min="1" max="1" width="10.42578125" bestFit="1" customWidth="1"/>
    <col min="3" max="3" width="11.42578125" bestFit="1" customWidth="1"/>
    <col min="4" max="4" width="14.42578125" bestFit="1" customWidth="1"/>
    <col min="5" max="5" width="16.28515625" bestFit="1" customWidth="1"/>
    <col min="12" max="12" width="11" customWidth="1"/>
  </cols>
  <sheetData>
    <row r="1" spans="1:9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42005</v>
      </c>
      <c r="B2" s="1" t="str">
        <f>TEXT(Table1[[#This Row],[Date]],"mmm")</f>
        <v>Jan</v>
      </c>
      <c r="C2" t="s">
        <v>9</v>
      </c>
      <c r="D2" t="s">
        <v>10</v>
      </c>
      <c r="E2" t="s">
        <v>11</v>
      </c>
      <c r="F2" t="s">
        <v>12</v>
      </c>
      <c r="G2">
        <v>7.2</v>
      </c>
      <c r="H2">
        <v>6</v>
      </c>
      <c r="I2">
        <f>Table1[[#This Row],[Price]]*Table1[[#This Row],[Qty]]</f>
        <v>43.2</v>
      </c>
    </row>
    <row r="3" spans="1:9" x14ac:dyDescent="0.25">
      <c r="A3" s="1">
        <v>42005</v>
      </c>
      <c r="B3" s="1" t="str">
        <f>TEXT(Table1[[#This Row],[Date]],"mmm")</f>
        <v>Jan</v>
      </c>
      <c r="C3" t="s">
        <v>9</v>
      </c>
      <c r="D3" t="s">
        <v>13</v>
      </c>
      <c r="E3" t="s">
        <v>14</v>
      </c>
      <c r="F3" t="s">
        <v>15</v>
      </c>
      <c r="G3">
        <v>13.9</v>
      </c>
      <c r="H3">
        <v>21</v>
      </c>
      <c r="I3">
        <f>Table1[[#This Row],[Price]]*Table1[[#This Row],[Qty]]</f>
        <v>291.90000000000003</v>
      </c>
    </row>
    <row r="4" spans="1:9" x14ac:dyDescent="0.25">
      <c r="A4" s="1">
        <v>42006</v>
      </c>
      <c r="B4" s="1" t="str">
        <f>TEXT(Table1[[#This Row],[Date]],"mmm")</f>
        <v>Jan</v>
      </c>
      <c r="C4" t="s">
        <v>9</v>
      </c>
      <c r="D4" t="s">
        <v>16</v>
      </c>
      <c r="E4" t="s">
        <v>14</v>
      </c>
      <c r="F4" t="s">
        <v>15</v>
      </c>
      <c r="G4">
        <v>11.2</v>
      </c>
      <c r="H4">
        <v>4</v>
      </c>
      <c r="I4">
        <f>Table1[[#This Row],[Price]]*Table1[[#This Row],[Qty]]</f>
        <v>44.8</v>
      </c>
    </row>
    <row r="5" spans="1:9" x14ac:dyDescent="0.25">
      <c r="A5" s="1">
        <v>42007</v>
      </c>
      <c r="B5" s="1" t="str">
        <f>TEXT(Table1[[#This Row],[Date]],"mmm")</f>
        <v>Jan</v>
      </c>
      <c r="C5" t="s">
        <v>9</v>
      </c>
      <c r="D5" t="s">
        <v>17</v>
      </c>
      <c r="E5" t="s">
        <v>14</v>
      </c>
      <c r="F5" t="s">
        <v>15</v>
      </c>
      <c r="G5">
        <v>15.2</v>
      </c>
      <c r="H5">
        <v>5</v>
      </c>
      <c r="I5">
        <f>Table1[[#This Row],[Price]]*Table1[[#This Row],[Qty]]</f>
        <v>76</v>
      </c>
    </row>
    <row r="6" spans="1:9" x14ac:dyDescent="0.25">
      <c r="A6" s="1">
        <v>42020</v>
      </c>
      <c r="B6" s="1" t="str">
        <f>TEXT(Table1[[#This Row],[Date]],"mmm")</f>
        <v>Jan</v>
      </c>
      <c r="C6" t="s">
        <v>9</v>
      </c>
      <c r="D6" t="s">
        <v>17</v>
      </c>
      <c r="E6" t="s">
        <v>11</v>
      </c>
      <c r="F6" t="s">
        <v>18</v>
      </c>
      <c r="G6">
        <v>21.8</v>
      </c>
      <c r="H6">
        <v>5</v>
      </c>
      <c r="I6">
        <f>Table1[[#This Row],[Price]]*Table1[[#This Row],[Qty]]</f>
        <v>109</v>
      </c>
    </row>
    <row r="7" spans="1:9" x14ac:dyDescent="0.25">
      <c r="A7" s="1">
        <v>42025</v>
      </c>
      <c r="B7" s="1" t="str">
        <f>TEXT(Table1[[#This Row],[Date]],"mmm")</f>
        <v>Jan</v>
      </c>
      <c r="C7" t="s">
        <v>9</v>
      </c>
      <c r="D7" t="s">
        <v>10</v>
      </c>
      <c r="E7" t="s">
        <v>11</v>
      </c>
      <c r="F7" t="s">
        <v>15</v>
      </c>
      <c r="G7">
        <v>24.9</v>
      </c>
      <c r="H7">
        <v>2</v>
      </c>
      <c r="I7">
        <f>Table1[[#This Row],[Price]]*Table1[[#This Row],[Qty]]</f>
        <v>49.8</v>
      </c>
    </row>
    <row r="8" spans="1:9" x14ac:dyDescent="0.25">
      <c r="A8" s="1">
        <v>42026</v>
      </c>
      <c r="B8" s="1" t="str">
        <f>TEXT(Table1[[#This Row],[Date]],"mmm")</f>
        <v>Jan</v>
      </c>
      <c r="C8" t="s">
        <v>9</v>
      </c>
      <c r="D8" t="s">
        <v>16</v>
      </c>
      <c r="E8" t="s">
        <v>11</v>
      </c>
      <c r="F8" t="s">
        <v>15</v>
      </c>
      <c r="G8">
        <v>19.2</v>
      </c>
      <c r="H8">
        <v>1</v>
      </c>
      <c r="I8">
        <f>Table1[[#This Row],[Price]]*Table1[[#This Row],[Qty]]</f>
        <v>19.2</v>
      </c>
    </row>
    <row r="9" spans="1:9" x14ac:dyDescent="0.25">
      <c r="A9" s="1">
        <v>42028</v>
      </c>
      <c r="B9" s="1" t="str">
        <f>TEXT(Table1[[#This Row],[Date]],"mmm")</f>
        <v>Jan</v>
      </c>
      <c r="C9" t="s">
        <v>9</v>
      </c>
      <c r="D9" t="s">
        <v>17</v>
      </c>
      <c r="E9" t="s">
        <v>19</v>
      </c>
      <c r="F9" t="s">
        <v>18</v>
      </c>
      <c r="G9">
        <v>5.9</v>
      </c>
      <c r="H9">
        <v>4</v>
      </c>
      <c r="I9">
        <f>Table1[[#This Row],[Price]]*Table1[[#This Row],[Qty]]</f>
        <v>23.6</v>
      </c>
    </row>
    <row r="10" spans="1:9" x14ac:dyDescent="0.25">
      <c r="A10" s="1">
        <v>42039</v>
      </c>
      <c r="B10" s="1" t="str">
        <f>TEXT(Table1[[#This Row],[Date]],"mmm")</f>
        <v>Feb</v>
      </c>
      <c r="C10" t="s">
        <v>9</v>
      </c>
      <c r="D10" t="s">
        <v>10</v>
      </c>
      <c r="E10" t="s">
        <v>14</v>
      </c>
      <c r="F10" t="s">
        <v>12</v>
      </c>
      <c r="G10">
        <v>11.2</v>
      </c>
      <c r="H10">
        <v>2</v>
      </c>
      <c r="I10">
        <f>Table1[[#This Row],[Price]]*Table1[[#This Row],[Qty]]</f>
        <v>22.4</v>
      </c>
    </row>
    <row r="11" spans="1:9" x14ac:dyDescent="0.25">
      <c r="A11" s="1">
        <v>42040</v>
      </c>
      <c r="B11" s="1" t="str">
        <f>TEXT(Table1[[#This Row],[Date]],"mmm")</f>
        <v>Feb</v>
      </c>
      <c r="C11" t="s">
        <v>9</v>
      </c>
      <c r="D11" t="s">
        <v>13</v>
      </c>
      <c r="E11" t="s">
        <v>19</v>
      </c>
      <c r="F11" t="s">
        <v>12</v>
      </c>
      <c r="G11">
        <v>26.6</v>
      </c>
      <c r="H11">
        <v>6</v>
      </c>
      <c r="I11">
        <f>Table1[[#This Row],[Price]]*Table1[[#This Row],[Qty]]</f>
        <v>159.60000000000002</v>
      </c>
    </row>
    <row r="12" spans="1:9" x14ac:dyDescent="0.25">
      <c r="A12" s="1">
        <v>42041</v>
      </c>
      <c r="B12" s="1" t="str">
        <f>TEXT(Table1[[#This Row],[Date]],"mmm")</f>
        <v>Feb</v>
      </c>
      <c r="C12" t="s">
        <v>9</v>
      </c>
      <c r="D12" t="s">
        <v>16</v>
      </c>
      <c r="E12" t="s">
        <v>20</v>
      </c>
      <c r="F12" t="s">
        <v>15</v>
      </c>
      <c r="G12">
        <v>15.2</v>
      </c>
      <c r="H12">
        <v>45</v>
      </c>
      <c r="I12">
        <f>Table1[[#This Row],[Price]]*Table1[[#This Row],[Qty]]</f>
        <v>684</v>
      </c>
    </row>
    <row r="13" spans="1:9" x14ac:dyDescent="0.25">
      <c r="A13" s="1">
        <v>42045</v>
      </c>
      <c r="B13" s="1" t="str">
        <f>TEXT(Table1[[#This Row],[Date]],"mmm")</f>
        <v>Feb</v>
      </c>
      <c r="C13" t="s">
        <v>9</v>
      </c>
      <c r="D13" t="s">
        <v>17</v>
      </c>
      <c r="E13" t="s">
        <v>20</v>
      </c>
      <c r="F13" t="s">
        <v>15</v>
      </c>
      <c r="G13">
        <v>22.8</v>
      </c>
      <c r="H13">
        <v>9</v>
      </c>
      <c r="I13">
        <f>Table1[[#This Row],[Price]]*Table1[[#This Row],[Qty]]</f>
        <v>205.20000000000002</v>
      </c>
    </row>
    <row r="14" spans="1:9" x14ac:dyDescent="0.25">
      <c r="A14" s="1">
        <v>42047</v>
      </c>
      <c r="B14" s="1" t="str">
        <f>TEXT(Table1[[#This Row],[Date]],"mmm")</f>
        <v>Feb</v>
      </c>
      <c r="C14" t="s">
        <v>21</v>
      </c>
      <c r="D14" t="s">
        <v>13</v>
      </c>
      <c r="E14" t="s">
        <v>19</v>
      </c>
      <c r="F14" t="s">
        <v>18</v>
      </c>
      <c r="G14">
        <v>7.7</v>
      </c>
      <c r="H14">
        <v>3</v>
      </c>
      <c r="I14">
        <f>Table1[[#This Row],[Price]]*Table1[[#This Row],[Qty]]</f>
        <v>23.1</v>
      </c>
    </row>
    <row r="15" spans="1:9" x14ac:dyDescent="0.25">
      <c r="A15" s="1">
        <v>42047</v>
      </c>
      <c r="B15" s="1" t="str">
        <f>TEXT(Table1[[#This Row],[Date]],"mmm")</f>
        <v>Feb</v>
      </c>
      <c r="C15" t="s">
        <v>9</v>
      </c>
      <c r="D15" t="s">
        <v>16</v>
      </c>
      <c r="E15" t="s">
        <v>11</v>
      </c>
      <c r="F15" t="s">
        <v>12</v>
      </c>
      <c r="G15">
        <v>39.4</v>
      </c>
      <c r="H15">
        <v>35</v>
      </c>
      <c r="I15">
        <f>Table1[[#This Row],[Price]]*Table1[[#This Row],[Qty]]</f>
        <v>1379</v>
      </c>
    </row>
    <row r="16" spans="1:9" x14ac:dyDescent="0.25">
      <c r="A16" s="1">
        <v>42053</v>
      </c>
      <c r="B16" s="1" t="str">
        <f>TEXT(Table1[[#This Row],[Date]],"mmm")</f>
        <v>Feb</v>
      </c>
      <c r="C16" t="s">
        <v>9</v>
      </c>
      <c r="D16" t="s">
        <v>17</v>
      </c>
      <c r="E16" t="s">
        <v>11</v>
      </c>
      <c r="F16" t="s">
        <v>18</v>
      </c>
      <c r="G16">
        <v>24.8</v>
      </c>
      <c r="H16">
        <v>2</v>
      </c>
      <c r="I16">
        <f>Table1[[#This Row],[Price]]*Table1[[#This Row],[Qty]]</f>
        <v>49.6</v>
      </c>
    </row>
    <row r="17" spans="1:9" x14ac:dyDescent="0.25">
      <c r="A17" s="1">
        <v>42055</v>
      </c>
      <c r="B17" s="1" t="str">
        <f>TEXT(Table1[[#This Row],[Date]],"mmm")</f>
        <v>Feb</v>
      </c>
      <c r="C17" t="s">
        <v>9</v>
      </c>
      <c r="D17" t="s">
        <v>10</v>
      </c>
      <c r="E17" t="s">
        <v>22</v>
      </c>
      <c r="F17" t="s">
        <v>12</v>
      </c>
      <c r="G17">
        <v>12</v>
      </c>
      <c r="H17">
        <v>25</v>
      </c>
      <c r="I17">
        <f>Table1[[#This Row],[Price]]*Table1[[#This Row],[Qty]]</f>
        <v>300</v>
      </c>
    </row>
    <row r="18" spans="1:9" x14ac:dyDescent="0.25">
      <c r="A18" s="1">
        <v>42056</v>
      </c>
      <c r="B18" s="1" t="str">
        <f>TEXT(Table1[[#This Row],[Date]],"mmm")</f>
        <v>Feb</v>
      </c>
      <c r="C18" t="s">
        <v>9</v>
      </c>
      <c r="D18" t="s">
        <v>13</v>
      </c>
      <c r="E18" t="s">
        <v>11</v>
      </c>
      <c r="F18" t="s">
        <v>18</v>
      </c>
      <c r="G18">
        <v>26.2</v>
      </c>
      <c r="H18">
        <v>5</v>
      </c>
      <c r="I18">
        <f>Table1[[#This Row],[Price]]*Table1[[#This Row],[Qty]]</f>
        <v>131</v>
      </c>
    </row>
    <row r="19" spans="1:9" x14ac:dyDescent="0.25">
      <c r="A19" s="1">
        <v>42056</v>
      </c>
      <c r="B19" s="1" t="str">
        <f>TEXT(Table1[[#This Row],[Date]],"mmm")</f>
        <v>Feb</v>
      </c>
      <c r="C19" t="s">
        <v>9</v>
      </c>
      <c r="D19" t="s">
        <v>16</v>
      </c>
      <c r="E19" t="s">
        <v>20</v>
      </c>
      <c r="F19" t="s">
        <v>12</v>
      </c>
      <c r="G19">
        <v>44</v>
      </c>
      <c r="H19">
        <v>36</v>
      </c>
      <c r="I19">
        <f>Table1[[#This Row],[Price]]*Table1[[#This Row],[Qty]]</f>
        <v>1584</v>
      </c>
    </row>
    <row r="20" spans="1:9" x14ac:dyDescent="0.25">
      <c r="A20" s="1">
        <v>42060</v>
      </c>
      <c r="B20" s="1" t="str">
        <f>TEXT(Table1[[#This Row],[Date]],"mmm")</f>
        <v>Feb</v>
      </c>
      <c r="C20" t="s">
        <v>9</v>
      </c>
      <c r="D20" t="s">
        <v>17</v>
      </c>
      <c r="E20" t="s">
        <v>23</v>
      </c>
      <c r="F20" t="s">
        <v>12</v>
      </c>
      <c r="G20">
        <v>2.7</v>
      </c>
      <c r="H20">
        <v>28</v>
      </c>
      <c r="I20">
        <f>Table1[[#This Row],[Price]]*Table1[[#This Row],[Qty]]</f>
        <v>75.600000000000009</v>
      </c>
    </row>
    <row r="21" spans="1:9" x14ac:dyDescent="0.25">
      <c r="A21" s="1">
        <v>42063</v>
      </c>
      <c r="B21" s="1" t="str">
        <f>TEXT(Table1[[#This Row],[Date]],"mmm")</f>
        <v>Feb</v>
      </c>
      <c r="C21" t="s">
        <v>9</v>
      </c>
      <c r="D21" t="s">
        <v>10</v>
      </c>
      <c r="E21" t="s">
        <v>11</v>
      </c>
      <c r="F21" t="s">
        <v>12</v>
      </c>
      <c r="G21">
        <v>17.600000000000001</v>
      </c>
      <c r="H21">
        <v>16</v>
      </c>
      <c r="I21">
        <f>Table1[[#This Row],[Price]]*Table1[[#This Row],[Qty]]</f>
        <v>281.60000000000002</v>
      </c>
    </row>
    <row r="22" spans="1:9" x14ac:dyDescent="0.25">
      <c r="A22" s="1">
        <v>42067</v>
      </c>
      <c r="B22" s="1" t="str">
        <f>TEXT(Table1[[#This Row],[Date]],"mmm")</f>
        <v>Mar</v>
      </c>
      <c r="C22" t="s">
        <v>21</v>
      </c>
      <c r="D22" t="s">
        <v>13</v>
      </c>
      <c r="E22" t="s">
        <v>20</v>
      </c>
      <c r="F22" t="s">
        <v>15</v>
      </c>
      <c r="G22">
        <v>7.3</v>
      </c>
      <c r="H22">
        <v>21</v>
      </c>
      <c r="I22">
        <f>Table1[[#This Row],[Price]]*Table1[[#This Row],[Qty]]</f>
        <v>153.29999999999998</v>
      </c>
    </row>
    <row r="23" spans="1:9" x14ac:dyDescent="0.25">
      <c r="A23" s="1">
        <v>42067</v>
      </c>
      <c r="B23" s="1" t="str">
        <f>TEXT(Table1[[#This Row],[Date]],"mmm")</f>
        <v>Mar</v>
      </c>
      <c r="C23" t="s">
        <v>9</v>
      </c>
      <c r="D23" t="s">
        <v>16</v>
      </c>
      <c r="E23" t="s">
        <v>22</v>
      </c>
      <c r="F23" t="s">
        <v>18</v>
      </c>
      <c r="G23">
        <v>3.4</v>
      </c>
      <c r="H23">
        <v>3</v>
      </c>
      <c r="I23">
        <f>Table1[[#This Row],[Price]]*Table1[[#This Row],[Qty]]</f>
        <v>10.199999999999999</v>
      </c>
    </row>
    <row r="24" spans="1:9" x14ac:dyDescent="0.25">
      <c r="A24" s="1">
        <v>42067</v>
      </c>
      <c r="B24" s="1" t="str">
        <f>TEXT(Table1[[#This Row],[Date]],"mmm")</f>
        <v>Mar</v>
      </c>
      <c r="C24" t="s">
        <v>9</v>
      </c>
      <c r="D24" t="s">
        <v>17</v>
      </c>
      <c r="E24" t="s">
        <v>14</v>
      </c>
      <c r="F24" t="s">
        <v>18</v>
      </c>
      <c r="G24">
        <v>26.6</v>
      </c>
      <c r="H24">
        <v>8</v>
      </c>
      <c r="I24">
        <f>Table1[[#This Row],[Price]]*Table1[[#This Row],[Qty]]</f>
        <v>212.8</v>
      </c>
    </row>
    <row r="25" spans="1:9" x14ac:dyDescent="0.25">
      <c r="A25" s="1">
        <v>42074</v>
      </c>
      <c r="B25" s="1" t="str">
        <f>TEXT(Table1[[#This Row],[Date]],"mmm")</f>
        <v>Mar</v>
      </c>
      <c r="C25" t="s">
        <v>9</v>
      </c>
      <c r="D25" t="s">
        <v>10</v>
      </c>
      <c r="E25" t="s">
        <v>14</v>
      </c>
      <c r="F25" t="s">
        <v>12</v>
      </c>
      <c r="G25">
        <v>14.4</v>
      </c>
      <c r="H25">
        <v>15</v>
      </c>
      <c r="I25">
        <f>Table1[[#This Row],[Price]]*Table1[[#This Row],[Qty]]</f>
        <v>216</v>
      </c>
    </row>
    <row r="26" spans="1:9" x14ac:dyDescent="0.25">
      <c r="A26" s="1">
        <v>42076</v>
      </c>
      <c r="B26" s="1" t="str">
        <f>TEXT(Table1[[#This Row],[Date]],"mmm")</f>
        <v>Mar</v>
      </c>
      <c r="C26" t="s">
        <v>9</v>
      </c>
      <c r="D26" t="s">
        <v>13</v>
      </c>
      <c r="E26" t="s">
        <v>23</v>
      </c>
      <c r="F26" t="s">
        <v>12</v>
      </c>
      <c r="G26">
        <v>26.6</v>
      </c>
      <c r="H26">
        <v>3</v>
      </c>
      <c r="I26">
        <f>Table1[[#This Row],[Price]]*Table1[[#This Row],[Qty]]</f>
        <v>79.800000000000011</v>
      </c>
    </row>
    <row r="27" spans="1:9" x14ac:dyDescent="0.25">
      <c r="A27" s="1">
        <v>42080</v>
      </c>
      <c r="B27" s="1" t="str">
        <f>TEXT(Table1[[#This Row],[Date]],"mmm")</f>
        <v>Mar</v>
      </c>
      <c r="C27" t="s">
        <v>21</v>
      </c>
      <c r="D27" t="s">
        <v>16</v>
      </c>
      <c r="E27" t="s">
        <v>20</v>
      </c>
      <c r="F27" t="s">
        <v>15</v>
      </c>
      <c r="G27">
        <v>14.7</v>
      </c>
      <c r="H27">
        <v>1</v>
      </c>
      <c r="I27">
        <f>Table1[[#This Row],[Price]]*Table1[[#This Row],[Qty]]</f>
        <v>14.7</v>
      </c>
    </row>
    <row r="28" spans="1:9" x14ac:dyDescent="0.25">
      <c r="A28" s="1">
        <v>42084</v>
      </c>
      <c r="B28" s="1" t="str">
        <f>TEXT(Table1[[#This Row],[Date]],"mmm")</f>
        <v>Mar</v>
      </c>
      <c r="C28" t="s">
        <v>21</v>
      </c>
      <c r="D28" t="s">
        <v>17</v>
      </c>
      <c r="E28" t="s">
        <v>24</v>
      </c>
      <c r="F28" t="s">
        <v>15</v>
      </c>
      <c r="G28">
        <v>8</v>
      </c>
      <c r="H28">
        <v>2</v>
      </c>
      <c r="I28">
        <f>Table1[[#This Row],[Price]]*Table1[[#This Row],[Qty]]</f>
        <v>16</v>
      </c>
    </row>
    <row r="29" spans="1:9" x14ac:dyDescent="0.25">
      <c r="A29" s="1">
        <v>42088</v>
      </c>
      <c r="B29" s="1" t="str">
        <f>TEXT(Table1[[#This Row],[Date]],"mmm")</f>
        <v>Mar</v>
      </c>
      <c r="C29" t="s">
        <v>21</v>
      </c>
      <c r="D29" t="s">
        <v>10</v>
      </c>
      <c r="E29" t="s">
        <v>20</v>
      </c>
      <c r="F29" t="s">
        <v>18</v>
      </c>
      <c r="G29">
        <v>42.4</v>
      </c>
      <c r="H29">
        <v>25</v>
      </c>
      <c r="I29">
        <f>Table1[[#This Row],[Price]]*Table1[[#This Row],[Qty]]</f>
        <v>1060</v>
      </c>
    </row>
    <row r="30" spans="1:9" x14ac:dyDescent="0.25">
      <c r="A30" s="1">
        <v>42089</v>
      </c>
      <c r="B30" s="1" t="str">
        <f>TEXT(Table1[[#This Row],[Date]],"mmm")</f>
        <v>Mar</v>
      </c>
      <c r="C30" t="s">
        <v>9</v>
      </c>
      <c r="D30" t="s">
        <v>13</v>
      </c>
      <c r="E30" t="s">
        <v>11</v>
      </c>
      <c r="F30" t="s">
        <v>18</v>
      </c>
      <c r="G30">
        <v>24.9</v>
      </c>
      <c r="H30">
        <v>3</v>
      </c>
      <c r="I30">
        <f>Table1[[#This Row],[Price]]*Table1[[#This Row],[Qty]]</f>
        <v>74.699999999999989</v>
      </c>
    </row>
    <row r="31" spans="1:9" x14ac:dyDescent="0.25">
      <c r="A31" s="1">
        <v>42089</v>
      </c>
      <c r="B31" s="1" t="str">
        <f>TEXT(Table1[[#This Row],[Date]],"mmm")</f>
        <v>Mar</v>
      </c>
      <c r="C31" t="s">
        <v>9</v>
      </c>
      <c r="D31" t="s">
        <v>16</v>
      </c>
      <c r="E31" t="s">
        <v>25</v>
      </c>
      <c r="F31" t="s">
        <v>12</v>
      </c>
      <c r="G31">
        <v>7.2</v>
      </c>
      <c r="H31">
        <v>1</v>
      </c>
      <c r="I31">
        <f>Table1[[#This Row],[Price]]*Table1[[#This Row],[Qty]]</f>
        <v>7.2</v>
      </c>
    </row>
    <row r="32" spans="1:9" x14ac:dyDescent="0.25">
      <c r="A32" s="1">
        <v>42097</v>
      </c>
      <c r="B32" s="1" t="str">
        <f>TEXT(Table1[[#This Row],[Date]],"mmm")</f>
        <v>Apr</v>
      </c>
      <c r="C32" t="s">
        <v>9</v>
      </c>
      <c r="D32" t="s">
        <v>17</v>
      </c>
      <c r="E32" t="s">
        <v>14</v>
      </c>
      <c r="F32" t="s">
        <v>15</v>
      </c>
      <c r="G32">
        <v>4.5</v>
      </c>
      <c r="H32">
        <v>14</v>
      </c>
      <c r="I32">
        <f>Table1[[#This Row],[Price]]*Table1[[#This Row],[Qty]]</f>
        <v>63</v>
      </c>
    </row>
    <row r="33" spans="1:9" x14ac:dyDescent="0.25">
      <c r="A33" s="1">
        <v>42101</v>
      </c>
      <c r="B33" s="1" t="str">
        <f>TEXT(Table1[[#This Row],[Date]],"mmm")</f>
        <v>Apr</v>
      </c>
      <c r="C33" t="s">
        <v>9</v>
      </c>
      <c r="D33" t="s">
        <v>10</v>
      </c>
      <c r="E33" t="s">
        <v>14</v>
      </c>
      <c r="F33" t="s">
        <v>15</v>
      </c>
      <c r="G33">
        <v>28.5</v>
      </c>
      <c r="H33">
        <v>25</v>
      </c>
      <c r="I33">
        <f>Table1[[#This Row],[Price]]*Table1[[#This Row],[Qty]]</f>
        <v>712.5</v>
      </c>
    </row>
    <row r="34" spans="1:9" x14ac:dyDescent="0.25">
      <c r="A34" s="1">
        <v>42103</v>
      </c>
      <c r="B34" s="1" t="str">
        <f>TEXT(Table1[[#This Row],[Date]],"mmm")</f>
        <v>Apr</v>
      </c>
      <c r="C34" t="s">
        <v>9</v>
      </c>
      <c r="D34" t="s">
        <v>13</v>
      </c>
      <c r="E34" t="s">
        <v>22</v>
      </c>
      <c r="F34" t="s">
        <v>15</v>
      </c>
      <c r="G34">
        <v>46</v>
      </c>
      <c r="H34">
        <v>15</v>
      </c>
      <c r="I34">
        <f>Table1[[#This Row],[Price]]*Table1[[#This Row],[Qty]]</f>
        <v>690</v>
      </c>
    </row>
    <row r="35" spans="1:9" x14ac:dyDescent="0.25">
      <c r="A35" s="1">
        <v>42105</v>
      </c>
      <c r="B35" s="1" t="str">
        <f>TEXT(Table1[[#This Row],[Date]],"mmm")</f>
        <v>Apr</v>
      </c>
      <c r="C35" t="s">
        <v>21</v>
      </c>
      <c r="D35" t="s">
        <v>16</v>
      </c>
      <c r="E35" t="s">
        <v>22</v>
      </c>
      <c r="F35" t="s">
        <v>18</v>
      </c>
      <c r="G35">
        <v>14</v>
      </c>
      <c r="H35">
        <v>18</v>
      </c>
      <c r="I35">
        <f>Table1[[#This Row],[Price]]*Table1[[#This Row],[Qty]]</f>
        <v>252</v>
      </c>
    </row>
    <row r="36" spans="1:9" x14ac:dyDescent="0.25">
      <c r="A36" s="1">
        <v>42109</v>
      </c>
      <c r="B36" s="1" t="str">
        <f>TEXT(Table1[[#This Row],[Date]],"mmm")</f>
        <v>Apr</v>
      </c>
      <c r="C36" t="s">
        <v>9</v>
      </c>
      <c r="D36" t="s">
        <v>17</v>
      </c>
      <c r="E36" t="s">
        <v>11</v>
      </c>
      <c r="F36" t="s">
        <v>15</v>
      </c>
      <c r="G36">
        <v>3</v>
      </c>
      <c r="H36">
        <v>5</v>
      </c>
      <c r="I36">
        <f>Table1[[#This Row],[Price]]*Table1[[#This Row],[Qty]]</f>
        <v>15</v>
      </c>
    </row>
    <row r="37" spans="1:9" x14ac:dyDescent="0.25">
      <c r="A37" s="1">
        <v>42115</v>
      </c>
      <c r="B37" s="1" t="str">
        <f>TEXT(Table1[[#This Row],[Date]],"mmm")</f>
        <v>Apr</v>
      </c>
      <c r="C37" t="s">
        <v>9</v>
      </c>
      <c r="D37" t="s">
        <v>10</v>
      </c>
      <c r="E37" t="s">
        <v>24</v>
      </c>
      <c r="F37" t="s">
        <v>15</v>
      </c>
      <c r="G37">
        <v>7</v>
      </c>
      <c r="H37">
        <v>6</v>
      </c>
      <c r="I37">
        <f>Table1[[#This Row],[Price]]*Table1[[#This Row],[Qty]]</f>
        <v>42</v>
      </c>
    </row>
    <row r="38" spans="1:9" x14ac:dyDescent="0.25">
      <c r="A38" s="1">
        <v>42116</v>
      </c>
      <c r="B38" s="1" t="str">
        <f>TEXT(Table1[[#This Row],[Date]],"mmm")</f>
        <v>Apr</v>
      </c>
      <c r="C38" t="s">
        <v>9</v>
      </c>
      <c r="D38" t="s">
        <v>13</v>
      </c>
      <c r="E38" t="s">
        <v>14</v>
      </c>
      <c r="F38" t="s">
        <v>18</v>
      </c>
      <c r="G38">
        <v>14</v>
      </c>
      <c r="H38">
        <v>2</v>
      </c>
      <c r="I38">
        <f>Table1[[#This Row],[Price]]*Table1[[#This Row],[Qty]]</f>
        <v>28</v>
      </c>
    </row>
    <row r="39" spans="1:9" x14ac:dyDescent="0.25">
      <c r="A39" s="1">
        <v>42118</v>
      </c>
      <c r="B39" s="1" t="str">
        <f>TEXT(Table1[[#This Row],[Date]],"mmm")</f>
        <v>Apr</v>
      </c>
      <c r="C39" t="s">
        <v>21</v>
      </c>
      <c r="D39" t="s">
        <v>16</v>
      </c>
      <c r="E39" t="s">
        <v>14</v>
      </c>
      <c r="F39" t="s">
        <v>18</v>
      </c>
      <c r="G39">
        <v>4.5</v>
      </c>
      <c r="H39">
        <v>5</v>
      </c>
      <c r="I39">
        <f>Table1[[#This Row],[Price]]*Table1[[#This Row],[Qty]]</f>
        <v>22.5</v>
      </c>
    </row>
    <row r="40" spans="1:9" x14ac:dyDescent="0.25">
      <c r="A40" s="1">
        <v>42119</v>
      </c>
      <c r="B40" s="1" t="str">
        <f>TEXT(Table1[[#This Row],[Date]],"mmm")</f>
        <v>Apr</v>
      </c>
      <c r="C40" t="s">
        <v>9</v>
      </c>
      <c r="D40" t="s">
        <v>17</v>
      </c>
      <c r="E40" t="s">
        <v>20</v>
      </c>
      <c r="F40" t="s">
        <v>15</v>
      </c>
      <c r="G40">
        <v>38</v>
      </c>
      <c r="H40">
        <v>4</v>
      </c>
      <c r="I40">
        <f>Table1[[#This Row],[Price]]*Table1[[#This Row],[Qty]]</f>
        <v>152</v>
      </c>
    </row>
    <row r="41" spans="1:9" x14ac:dyDescent="0.25">
      <c r="A41" s="1">
        <v>42123</v>
      </c>
      <c r="B41" s="1" t="str">
        <f>TEXT(Table1[[#This Row],[Date]],"mmm")</f>
        <v>Apr</v>
      </c>
      <c r="C41" t="s">
        <v>21</v>
      </c>
      <c r="D41" t="s">
        <v>10</v>
      </c>
      <c r="E41" t="s">
        <v>20</v>
      </c>
      <c r="F41" t="s">
        <v>15</v>
      </c>
      <c r="G41">
        <v>31</v>
      </c>
      <c r="H41">
        <v>2</v>
      </c>
      <c r="I41">
        <f>Table1[[#This Row],[Price]]*Table1[[#This Row],[Qty]]</f>
        <v>62</v>
      </c>
    </row>
    <row r="42" spans="1:9" x14ac:dyDescent="0.25">
      <c r="A42" s="1">
        <v>42124</v>
      </c>
      <c r="B42" s="1" t="str">
        <f>TEXT(Table1[[#This Row],[Date]],"mmm")</f>
        <v>Apr</v>
      </c>
      <c r="C42" t="s">
        <v>21</v>
      </c>
      <c r="D42" t="s">
        <v>13</v>
      </c>
      <c r="E42" t="s">
        <v>22</v>
      </c>
      <c r="F42" t="s">
        <v>18</v>
      </c>
      <c r="G42">
        <v>25.89</v>
      </c>
      <c r="H42">
        <v>1</v>
      </c>
      <c r="I42">
        <f>Table1[[#This Row],[Price]]*Table1[[#This Row],[Qty]]</f>
        <v>25.89</v>
      </c>
    </row>
    <row r="43" spans="1:9" x14ac:dyDescent="0.25">
      <c r="A43" s="1">
        <v>42125</v>
      </c>
      <c r="B43" s="1" t="str">
        <f>TEXT(Table1[[#This Row],[Date]],"mmm")</f>
        <v>May</v>
      </c>
      <c r="C43" t="s">
        <v>21</v>
      </c>
      <c r="D43" t="s">
        <v>16</v>
      </c>
      <c r="E43" t="s">
        <v>24</v>
      </c>
      <c r="F43" t="s">
        <v>18</v>
      </c>
      <c r="G43">
        <v>81</v>
      </c>
      <c r="H43">
        <v>15</v>
      </c>
      <c r="I43">
        <f>Table1[[#This Row],[Price]]*Table1[[#This Row],[Qty]]</f>
        <v>1215</v>
      </c>
    </row>
    <row r="44" spans="1:9" x14ac:dyDescent="0.25">
      <c r="A44" s="1">
        <v>42125</v>
      </c>
      <c r="B44" s="1" t="str">
        <f>TEXT(Table1[[#This Row],[Date]],"mmm")</f>
        <v>May</v>
      </c>
      <c r="C44" t="s">
        <v>21</v>
      </c>
      <c r="D44" t="s">
        <v>17</v>
      </c>
      <c r="E44" t="s">
        <v>11</v>
      </c>
      <c r="F44" t="s">
        <v>15</v>
      </c>
      <c r="G44">
        <v>22</v>
      </c>
      <c r="H44">
        <v>5</v>
      </c>
      <c r="I44">
        <f>Table1[[#This Row],[Price]]*Table1[[#This Row],[Qty]]</f>
        <v>110</v>
      </c>
    </row>
    <row r="45" spans="1:9" x14ac:dyDescent="0.25">
      <c r="A45" s="1">
        <v>42130</v>
      </c>
      <c r="B45" s="1" t="str">
        <f>TEXT(Table1[[#This Row],[Date]],"mmm")</f>
        <v>May</v>
      </c>
      <c r="C45" t="s">
        <v>9</v>
      </c>
      <c r="D45" t="s">
        <v>10</v>
      </c>
      <c r="E45" t="s">
        <v>23</v>
      </c>
      <c r="F45" t="s">
        <v>18</v>
      </c>
      <c r="G45">
        <v>25.89</v>
      </c>
      <c r="H45">
        <v>1</v>
      </c>
      <c r="I45">
        <f>Table1[[#This Row],[Price]]*Table1[[#This Row],[Qty]]</f>
        <v>25.89</v>
      </c>
    </row>
    <row r="46" spans="1:9" x14ac:dyDescent="0.25">
      <c r="A46" s="1">
        <v>42132</v>
      </c>
      <c r="B46" s="1" t="str">
        <f>TEXT(Table1[[#This Row],[Date]],"mmm")</f>
        <v>May</v>
      </c>
      <c r="C46" t="s">
        <v>21</v>
      </c>
      <c r="D46" t="s">
        <v>13</v>
      </c>
      <c r="E46" t="s">
        <v>20</v>
      </c>
      <c r="F46" t="s">
        <v>15</v>
      </c>
      <c r="G46">
        <v>55</v>
      </c>
      <c r="H46">
        <v>15</v>
      </c>
      <c r="I46">
        <f>Table1[[#This Row],[Price]]*Table1[[#This Row],[Qty]]</f>
        <v>825</v>
      </c>
    </row>
    <row r="47" spans="1:9" x14ac:dyDescent="0.25">
      <c r="A47" s="1">
        <v>42136</v>
      </c>
      <c r="B47" s="1" t="str">
        <f>TEXT(Table1[[#This Row],[Date]],"mmm")</f>
        <v>May</v>
      </c>
      <c r="C47" t="s">
        <v>21</v>
      </c>
      <c r="D47" t="s">
        <v>16</v>
      </c>
      <c r="E47" t="s">
        <v>24</v>
      </c>
      <c r="F47" t="s">
        <v>18</v>
      </c>
      <c r="G47">
        <v>13.25</v>
      </c>
      <c r="H47">
        <v>2</v>
      </c>
      <c r="I47">
        <f>Table1[[#This Row],[Price]]*Table1[[#This Row],[Qty]]</f>
        <v>26.5</v>
      </c>
    </row>
    <row r="48" spans="1:9" x14ac:dyDescent="0.25">
      <c r="A48" s="1">
        <v>42138</v>
      </c>
      <c r="B48" s="1" t="str">
        <f>TEXT(Table1[[#This Row],[Date]],"mmm")</f>
        <v>May</v>
      </c>
      <c r="C48" t="s">
        <v>9</v>
      </c>
      <c r="D48" t="s">
        <v>17</v>
      </c>
      <c r="E48" t="s">
        <v>24</v>
      </c>
      <c r="F48" t="s">
        <v>15</v>
      </c>
      <c r="G48">
        <v>12.5</v>
      </c>
      <c r="H48">
        <v>5</v>
      </c>
      <c r="I48">
        <f>Table1[[#This Row],[Price]]*Table1[[#This Row],[Qty]]</f>
        <v>62.5</v>
      </c>
    </row>
    <row r="49" spans="1:9" x14ac:dyDescent="0.25">
      <c r="A49" s="1">
        <v>42139</v>
      </c>
      <c r="B49" s="1" t="str">
        <f>TEXT(Table1[[#This Row],[Date]],"mmm")</f>
        <v>May</v>
      </c>
      <c r="C49" t="s">
        <v>9</v>
      </c>
      <c r="D49" t="s">
        <v>10</v>
      </c>
      <c r="E49" t="s">
        <v>23</v>
      </c>
      <c r="F49" t="s">
        <v>18</v>
      </c>
      <c r="G49">
        <v>21.5</v>
      </c>
      <c r="H49">
        <v>9</v>
      </c>
      <c r="I49">
        <f>Table1[[#This Row],[Price]]*Table1[[#This Row],[Qty]]</f>
        <v>193.5</v>
      </c>
    </row>
    <row r="50" spans="1:9" x14ac:dyDescent="0.25">
      <c r="A50" s="1">
        <v>42140</v>
      </c>
      <c r="B50" s="1" t="str">
        <f>TEXT(Table1[[#This Row],[Date]],"mmm")</f>
        <v>May</v>
      </c>
      <c r="C50" t="s">
        <v>9</v>
      </c>
      <c r="D50" t="s">
        <v>13</v>
      </c>
      <c r="E50" t="s">
        <v>11</v>
      </c>
      <c r="F50" t="s">
        <v>15</v>
      </c>
      <c r="G50">
        <v>21.5</v>
      </c>
      <c r="H50">
        <v>36</v>
      </c>
      <c r="I50">
        <f>Table1[[#This Row],[Price]]*Table1[[#This Row],[Qty]]</f>
        <v>774</v>
      </c>
    </row>
    <row r="51" spans="1:9" x14ac:dyDescent="0.25">
      <c r="A51" s="1">
        <v>42143</v>
      </c>
      <c r="B51" s="1" t="str">
        <f>TEXT(Table1[[#This Row],[Date]],"mmm")</f>
        <v>May</v>
      </c>
      <c r="C51" t="s">
        <v>9</v>
      </c>
      <c r="D51" t="s">
        <v>16</v>
      </c>
      <c r="E51" t="s">
        <v>23</v>
      </c>
      <c r="F51" t="s">
        <v>15</v>
      </c>
      <c r="G51">
        <v>1</v>
      </c>
      <c r="H51">
        <v>6</v>
      </c>
      <c r="I51">
        <f>Table1[[#This Row],[Price]]*Table1[[#This Row],[Qty]]</f>
        <v>6</v>
      </c>
    </row>
    <row r="52" spans="1:9" x14ac:dyDescent="0.25">
      <c r="A52" s="1">
        <v>42143</v>
      </c>
      <c r="B52" s="1" t="str">
        <f>TEXT(Table1[[#This Row],[Date]],"mmm")</f>
        <v>May</v>
      </c>
      <c r="C52" t="s">
        <v>9</v>
      </c>
      <c r="D52" t="s">
        <v>17</v>
      </c>
      <c r="E52" t="s">
        <v>22</v>
      </c>
      <c r="F52" t="s">
        <v>15</v>
      </c>
      <c r="G52">
        <v>7.45</v>
      </c>
      <c r="H52">
        <v>24</v>
      </c>
      <c r="I52">
        <f>Table1[[#This Row],[Price]]*Table1[[#This Row],[Qty]]</f>
        <v>178.8</v>
      </c>
    </row>
    <row r="53" spans="1:9" x14ac:dyDescent="0.25">
      <c r="A53" s="1">
        <v>42145</v>
      </c>
      <c r="B53" s="1" t="str">
        <f>TEXT(Table1[[#This Row],[Date]],"mmm")</f>
        <v>May</v>
      </c>
      <c r="C53" t="s">
        <v>21</v>
      </c>
      <c r="D53" t="s">
        <v>10</v>
      </c>
      <c r="E53" t="s">
        <v>20</v>
      </c>
      <c r="F53" t="s">
        <v>18</v>
      </c>
      <c r="G53">
        <v>49.3</v>
      </c>
      <c r="H53">
        <v>4</v>
      </c>
      <c r="I53">
        <f>Table1[[#This Row],[Price]]*Table1[[#This Row],[Qty]]</f>
        <v>197.2</v>
      </c>
    </row>
    <row r="54" spans="1:9" x14ac:dyDescent="0.25">
      <c r="A54" s="1">
        <v>42147</v>
      </c>
      <c r="B54" s="1" t="str">
        <f>TEXT(Table1[[#This Row],[Date]],"mmm")</f>
        <v>May</v>
      </c>
      <c r="C54" t="s">
        <v>21</v>
      </c>
      <c r="D54" t="s">
        <v>13</v>
      </c>
      <c r="E54" t="s">
        <v>25</v>
      </c>
      <c r="F54" t="s">
        <v>12</v>
      </c>
      <c r="G54">
        <v>12.5</v>
      </c>
      <c r="H54">
        <v>55</v>
      </c>
      <c r="I54">
        <f>Table1[[#This Row],[Price]]*Table1[[#This Row],[Qty]]</f>
        <v>687.5</v>
      </c>
    </row>
    <row r="55" spans="1:9" x14ac:dyDescent="0.25">
      <c r="A55" s="1">
        <v>42147</v>
      </c>
      <c r="B55" s="1" t="str">
        <f>TEXT(Table1[[#This Row],[Date]],"mmm")</f>
        <v>May</v>
      </c>
      <c r="C55" t="s">
        <v>21</v>
      </c>
      <c r="D55" t="s">
        <v>16</v>
      </c>
      <c r="E55" t="s">
        <v>11</v>
      </c>
      <c r="F55" t="s">
        <v>12</v>
      </c>
      <c r="G55">
        <v>7.75</v>
      </c>
      <c r="H55">
        <v>3</v>
      </c>
      <c r="I55">
        <f>Table1[[#This Row],[Price]]*Table1[[#This Row],[Qty]]</f>
        <v>23.25</v>
      </c>
    </row>
    <row r="56" spans="1:9" x14ac:dyDescent="0.25">
      <c r="A56" s="1">
        <v>42153</v>
      </c>
      <c r="B56" s="1" t="str">
        <f>TEXT(Table1[[#This Row],[Date]],"mmm")</f>
        <v>May</v>
      </c>
      <c r="C56" t="s">
        <v>21</v>
      </c>
      <c r="D56" t="s">
        <v>17</v>
      </c>
      <c r="E56" t="s">
        <v>20</v>
      </c>
      <c r="F56" t="s">
        <v>18</v>
      </c>
      <c r="G56">
        <v>53</v>
      </c>
      <c r="H56">
        <v>2</v>
      </c>
      <c r="I56">
        <f>Table1[[#This Row],[Price]]*Table1[[#This Row],[Qty]]</f>
        <v>106</v>
      </c>
    </row>
    <row r="57" spans="1:9" x14ac:dyDescent="0.25">
      <c r="A57" s="1">
        <v>42157</v>
      </c>
      <c r="B57" s="1" t="str">
        <f>TEXT(Table1[[#This Row],[Date]],"mmm")</f>
        <v>Jun</v>
      </c>
      <c r="C57" t="s">
        <v>9</v>
      </c>
      <c r="D57" t="s">
        <v>10</v>
      </c>
      <c r="E57" t="s">
        <v>11</v>
      </c>
      <c r="F57" t="s">
        <v>12</v>
      </c>
      <c r="G57">
        <v>7</v>
      </c>
      <c r="H57">
        <v>3</v>
      </c>
      <c r="I57">
        <f>Table1[[#This Row],[Price]]*Table1[[#This Row],[Qty]]</f>
        <v>21</v>
      </c>
    </row>
    <row r="58" spans="1:9" x14ac:dyDescent="0.25">
      <c r="A58" s="1">
        <v>42159</v>
      </c>
      <c r="B58" s="1" t="str">
        <f>TEXT(Table1[[#This Row],[Date]],"mmm")</f>
        <v>Jun</v>
      </c>
      <c r="C58" t="s">
        <v>9</v>
      </c>
      <c r="D58" t="s">
        <v>13</v>
      </c>
      <c r="E58" t="s">
        <v>19</v>
      </c>
      <c r="F58" t="s">
        <v>12</v>
      </c>
      <c r="G58">
        <v>9.65</v>
      </c>
      <c r="H58">
        <v>12</v>
      </c>
      <c r="I58">
        <f>Table1[[#This Row],[Price]]*Table1[[#This Row],[Qty]]</f>
        <v>115.80000000000001</v>
      </c>
    </row>
    <row r="59" spans="1:9" x14ac:dyDescent="0.25">
      <c r="A59" s="1">
        <v>42159</v>
      </c>
      <c r="B59" s="1" t="str">
        <f>TEXT(Table1[[#This Row],[Date]],"mmm")</f>
        <v>Jun</v>
      </c>
      <c r="C59" t="s">
        <v>9</v>
      </c>
      <c r="D59" t="s">
        <v>16</v>
      </c>
      <c r="E59" t="s">
        <v>14</v>
      </c>
      <c r="F59" t="s">
        <v>18</v>
      </c>
      <c r="G59">
        <v>2.5</v>
      </c>
      <c r="H59">
        <v>2</v>
      </c>
      <c r="I59">
        <f>Table1[[#This Row],[Price]]*Table1[[#This Row],[Qty]]</f>
        <v>5</v>
      </c>
    </row>
    <row r="60" spans="1:9" x14ac:dyDescent="0.25">
      <c r="A60" s="1">
        <v>42164</v>
      </c>
      <c r="B60" s="1" t="str">
        <f>TEXT(Table1[[#This Row],[Date]],"mmm")</f>
        <v>Jun</v>
      </c>
      <c r="C60" t="s">
        <v>21</v>
      </c>
      <c r="D60" t="s">
        <v>17</v>
      </c>
      <c r="E60" t="s">
        <v>23</v>
      </c>
      <c r="F60" t="s">
        <v>18</v>
      </c>
      <c r="G60">
        <v>55</v>
      </c>
      <c r="H60">
        <v>4</v>
      </c>
      <c r="I60">
        <f>Table1[[#This Row],[Price]]*Table1[[#This Row],[Qty]]</f>
        <v>220</v>
      </c>
    </row>
    <row r="61" spans="1:9" x14ac:dyDescent="0.25">
      <c r="A61" s="1">
        <v>42173</v>
      </c>
      <c r="B61" s="1" t="str">
        <f>TEXT(Table1[[#This Row],[Date]],"mmm")</f>
        <v>Jun</v>
      </c>
      <c r="C61" t="s">
        <v>21</v>
      </c>
      <c r="D61" t="s">
        <v>10</v>
      </c>
      <c r="E61" t="s">
        <v>23</v>
      </c>
      <c r="F61" t="s">
        <v>15</v>
      </c>
      <c r="G61">
        <v>33.25</v>
      </c>
      <c r="H61">
        <v>6</v>
      </c>
      <c r="I61">
        <f>Table1[[#This Row],[Price]]*Table1[[#This Row],[Qty]]</f>
        <v>199.5</v>
      </c>
    </row>
    <row r="62" spans="1:9" x14ac:dyDescent="0.25">
      <c r="A62" s="1">
        <v>42173</v>
      </c>
      <c r="B62" s="1" t="str">
        <f>TEXT(Table1[[#This Row],[Date]],"mmm")</f>
        <v>Jun</v>
      </c>
      <c r="C62" t="s">
        <v>21</v>
      </c>
      <c r="D62" t="s">
        <v>13</v>
      </c>
      <c r="E62" t="s">
        <v>20</v>
      </c>
      <c r="F62" t="s">
        <v>12</v>
      </c>
      <c r="G62">
        <v>2.5</v>
      </c>
      <c r="H62">
        <v>14</v>
      </c>
      <c r="I62">
        <f>Table1[[#This Row],[Price]]*Table1[[#This Row],[Qty]]</f>
        <v>35</v>
      </c>
    </row>
    <row r="63" spans="1:9" x14ac:dyDescent="0.25">
      <c r="A63" s="1">
        <v>42174</v>
      </c>
      <c r="B63" s="1" t="str">
        <f>TEXT(Table1[[#This Row],[Date]],"mmm")</f>
        <v>Jun</v>
      </c>
      <c r="C63" t="s">
        <v>21</v>
      </c>
      <c r="D63" t="s">
        <v>16</v>
      </c>
      <c r="E63" t="s">
        <v>14</v>
      </c>
      <c r="F63" t="s">
        <v>12</v>
      </c>
      <c r="G63">
        <v>39</v>
      </c>
      <c r="H63">
        <v>18</v>
      </c>
      <c r="I63">
        <f>Table1[[#This Row],[Price]]*Table1[[#This Row],[Qty]]</f>
        <v>702</v>
      </c>
    </row>
    <row r="64" spans="1:9" x14ac:dyDescent="0.25">
      <c r="A64" s="1">
        <v>42174</v>
      </c>
      <c r="B64" s="1" t="str">
        <f>TEXT(Table1[[#This Row],[Date]],"mmm")</f>
        <v>Jun</v>
      </c>
      <c r="C64" t="s">
        <v>21</v>
      </c>
      <c r="D64" t="s">
        <v>17</v>
      </c>
      <c r="E64" t="s">
        <v>19</v>
      </c>
      <c r="F64" t="s">
        <v>12</v>
      </c>
      <c r="G64">
        <v>34</v>
      </c>
      <c r="H64">
        <v>24</v>
      </c>
      <c r="I64">
        <f>Table1[[#This Row],[Price]]*Table1[[#This Row],[Qty]]</f>
        <v>816</v>
      </c>
    </row>
    <row r="65" spans="1:9" x14ac:dyDescent="0.25">
      <c r="A65" s="1">
        <v>42185</v>
      </c>
      <c r="B65" s="1" t="str">
        <f>TEXT(Table1[[#This Row],[Date]],"mmm")</f>
        <v>Jun</v>
      </c>
      <c r="C65" t="s">
        <v>9</v>
      </c>
      <c r="D65" t="s">
        <v>10</v>
      </c>
      <c r="E65" t="s">
        <v>23</v>
      </c>
      <c r="F65" t="s">
        <v>15</v>
      </c>
      <c r="G65">
        <v>18</v>
      </c>
      <c r="H65">
        <v>2</v>
      </c>
      <c r="I65">
        <f>Table1[[#This Row],[Price]]*Table1[[#This Row],[Qty]]</f>
        <v>36</v>
      </c>
    </row>
    <row r="66" spans="1:9" x14ac:dyDescent="0.25">
      <c r="A66" s="1">
        <v>42187</v>
      </c>
      <c r="B66" s="1" t="str">
        <f>TEXT(Table1[[#This Row],[Date]],"mmm")</f>
        <v>Jul</v>
      </c>
      <c r="C66" t="s">
        <v>9</v>
      </c>
      <c r="D66" t="s">
        <v>13</v>
      </c>
      <c r="E66" t="s">
        <v>14</v>
      </c>
      <c r="F66" t="s">
        <v>18</v>
      </c>
      <c r="G66">
        <v>3</v>
      </c>
      <c r="H66">
        <v>1</v>
      </c>
      <c r="I66">
        <f>Table1[[#This Row],[Price]]*Table1[[#This Row],[Qty]]</f>
        <v>3</v>
      </c>
    </row>
    <row r="67" spans="1:9" x14ac:dyDescent="0.25">
      <c r="A67" s="1">
        <v>42187</v>
      </c>
      <c r="B67" s="1" t="str">
        <f>TEXT(Table1[[#This Row],[Date]],"mmm")</f>
        <v>Jul</v>
      </c>
      <c r="C67" t="s">
        <v>9</v>
      </c>
      <c r="D67" t="s">
        <v>16</v>
      </c>
      <c r="E67" t="s">
        <v>20</v>
      </c>
      <c r="F67" t="s">
        <v>18</v>
      </c>
      <c r="G67">
        <v>13</v>
      </c>
      <c r="H67">
        <v>6</v>
      </c>
      <c r="I67">
        <f>Table1[[#This Row],[Price]]*Table1[[#This Row],[Qty]]</f>
        <v>78</v>
      </c>
    </row>
    <row r="68" spans="1:9" x14ac:dyDescent="0.25">
      <c r="A68" s="1">
        <v>42192</v>
      </c>
      <c r="B68" s="1" t="str">
        <f>TEXT(Table1[[#This Row],[Date]],"mmm")</f>
        <v>Jul</v>
      </c>
      <c r="C68" t="s">
        <v>9</v>
      </c>
      <c r="D68" t="s">
        <v>17</v>
      </c>
      <c r="E68" t="s">
        <v>22</v>
      </c>
      <c r="F68" t="s">
        <v>18</v>
      </c>
      <c r="G68">
        <v>13.25</v>
      </c>
      <c r="H68">
        <v>3</v>
      </c>
      <c r="I68">
        <f>Table1[[#This Row],[Price]]*Table1[[#This Row],[Qty]]</f>
        <v>39.75</v>
      </c>
    </row>
    <row r="69" spans="1:9" x14ac:dyDescent="0.25">
      <c r="A69" s="1">
        <v>42195</v>
      </c>
      <c r="B69" s="1" t="str">
        <f>TEXT(Table1[[#This Row],[Date]],"mmm")</f>
        <v>Jul</v>
      </c>
      <c r="C69" t="s">
        <v>9</v>
      </c>
      <c r="D69" t="s">
        <v>10</v>
      </c>
      <c r="E69" t="s">
        <v>22</v>
      </c>
      <c r="F69" t="s">
        <v>15</v>
      </c>
      <c r="G69">
        <v>55</v>
      </c>
      <c r="H69">
        <v>35</v>
      </c>
      <c r="I69">
        <f>Table1[[#This Row],[Price]]*Table1[[#This Row],[Qty]]</f>
        <v>1925</v>
      </c>
    </row>
    <row r="70" spans="1:9" x14ac:dyDescent="0.25">
      <c r="A70" s="1">
        <v>42196</v>
      </c>
      <c r="B70" s="1" t="str">
        <f>TEXT(Table1[[#This Row],[Date]],"mmm")</f>
        <v>Jul</v>
      </c>
      <c r="C70" t="s">
        <v>21</v>
      </c>
      <c r="D70" t="s">
        <v>13</v>
      </c>
      <c r="E70" t="s">
        <v>14</v>
      </c>
      <c r="F70" t="s">
        <v>12</v>
      </c>
      <c r="G70">
        <v>12.75</v>
      </c>
      <c r="H70">
        <v>6</v>
      </c>
      <c r="I70">
        <f>Table1[[#This Row],[Price]]*Table1[[#This Row],[Qty]]</f>
        <v>76.5</v>
      </c>
    </row>
    <row r="71" spans="1:9" x14ac:dyDescent="0.25">
      <c r="A71" s="1">
        <v>42201</v>
      </c>
      <c r="B71" s="1" t="str">
        <f>TEXT(Table1[[#This Row],[Date]],"mmm")</f>
        <v>Jul</v>
      </c>
      <c r="C71" t="s">
        <v>21</v>
      </c>
      <c r="D71" t="s">
        <v>16</v>
      </c>
      <c r="E71" t="s">
        <v>23</v>
      </c>
      <c r="F71" t="s">
        <v>15</v>
      </c>
      <c r="G71">
        <v>21</v>
      </c>
      <c r="H71">
        <v>48</v>
      </c>
      <c r="I71">
        <f>Table1[[#This Row],[Price]]*Table1[[#This Row],[Qty]]</f>
        <v>1008</v>
      </c>
    </row>
    <row r="72" spans="1:9" x14ac:dyDescent="0.25">
      <c r="A72" s="1">
        <v>42203</v>
      </c>
      <c r="B72" s="1" t="str">
        <f>TEXT(Table1[[#This Row],[Date]],"mmm")</f>
        <v>Jul</v>
      </c>
      <c r="C72" t="s">
        <v>21</v>
      </c>
      <c r="D72" t="s">
        <v>17</v>
      </c>
      <c r="E72" t="s">
        <v>14</v>
      </c>
      <c r="F72" t="s">
        <v>18</v>
      </c>
      <c r="G72">
        <v>34.799999999999997</v>
      </c>
      <c r="H72">
        <v>12</v>
      </c>
      <c r="I72">
        <f>Table1[[#This Row],[Price]]*Table1[[#This Row],[Qty]]</f>
        <v>417.59999999999997</v>
      </c>
    </row>
    <row r="73" spans="1:9" x14ac:dyDescent="0.25">
      <c r="A73" s="1">
        <v>42207</v>
      </c>
      <c r="B73" s="1" t="str">
        <f>TEXT(Table1[[#This Row],[Date]],"mmm")</f>
        <v>Jul</v>
      </c>
      <c r="C73" t="s">
        <v>9</v>
      </c>
      <c r="D73" t="s">
        <v>10</v>
      </c>
      <c r="E73" t="s">
        <v>24</v>
      </c>
      <c r="F73" t="s">
        <v>15</v>
      </c>
      <c r="G73">
        <v>18</v>
      </c>
      <c r="H73">
        <v>3</v>
      </c>
      <c r="I73">
        <f>Table1[[#This Row],[Price]]*Table1[[#This Row],[Qty]]</f>
        <v>54</v>
      </c>
    </row>
    <row r="74" spans="1:9" x14ac:dyDescent="0.25">
      <c r="A74" s="1">
        <v>42208</v>
      </c>
      <c r="B74" s="1" t="str">
        <f>TEXT(Table1[[#This Row],[Date]],"mmm")</f>
        <v>Jul</v>
      </c>
      <c r="C74" t="s">
        <v>9</v>
      </c>
      <c r="D74" t="s">
        <v>13</v>
      </c>
      <c r="E74" t="s">
        <v>14</v>
      </c>
      <c r="F74" t="s">
        <v>18</v>
      </c>
      <c r="G74">
        <v>31</v>
      </c>
      <c r="H74">
        <v>1</v>
      </c>
      <c r="I74">
        <f>Table1[[#This Row],[Price]]*Table1[[#This Row],[Qty]]</f>
        <v>31</v>
      </c>
    </row>
    <row r="75" spans="1:9" x14ac:dyDescent="0.25">
      <c r="A75" s="1">
        <v>42209</v>
      </c>
      <c r="B75" s="1" t="str">
        <f>TEXT(Table1[[#This Row],[Date]],"mmm")</f>
        <v>Jul</v>
      </c>
      <c r="C75" t="s">
        <v>9</v>
      </c>
      <c r="D75" t="s">
        <v>16</v>
      </c>
      <c r="E75" t="s">
        <v>20</v>
      </c>
      <c r="F75" t="s">
        <v>18</v>
      </c>
      <c r="G75">
        <v>34</v>
      </c>
      <c r="H75">
        <v>15</v>
      </c>
      <c r="I75">
        <f>Table1[[#This Row],[Price]]*Table1[[#This Row],[Qty]]</f>
        <v>510</v>
      </c>
    </row>
    <row r="76" spans="1:9" x14ac:dyDescent="0.25">
      <c r="A76" s="1">
        <v>42210</v>
      </c>
      <c r="B76" s="1" t="str">
        <f>TEXT(Table1[[#This Row],[Date]],"mmm")</f>
        <v>Jul</v>
      </c>
      <c r="C76" t="s">
        <v>9</v>
      </c>
      <c r="D76" t="s">
        <v>17</v>
      </c>
      <c r="E76" t="s">
        <v>23</v>
      </c>
      <c r="F76" t="s">
        <v>15</v>
      </c>
      <c r="G76">
        <v>31</v>
      </c>
      <c r="H76">
        <v>7</v>
      </c>
      <c r="I76">
        <f>Table1[[#This Row],[Price]]*Table1[[#This Row],[Qty]]</f>
        <v>217</v>
      </c>
    </row>
    <row r="77" spans="1:9" x14ac:dyDescent="0.25">
      <c r="A77" s="1">
        <v>42213</v>
      </c>
      <c r="B77" s="1" t="str">
        <f>TEXT(Table1[[#This Row],[Date]],"mmm")</f>
        <v>Jul</v>
      </c>
      <c r="C77" t="s">
        <v>9</v>
      </c>
      <c r="D77" t="s">
        <v>10</v>
      </c>
      <c r="E77" t="s">
        <v>20</v>
      </c>
      <c r="F77" t="s">
        <v>12</v>
      </c>
      <c r="G77">
        <v>21</v>
      </c>
      <c r="H77">
        <v>14</v>
      </c>
      <c r="I77">
        <f>Table1[[#This Row],[Price]]*Table1[[#This Row],[Qty]]</f>
        <v>294</v>
      </c>
    </row>
    <row r="78" spans="1:9" x14ac:dyDescent="0.25">
      <c r="A78" s="1">
        <v>42214</v>
      </c>
      <c r="B78" s="1" t="str">
        <f>TEXT(Table1[[#This Row],[Date]],"mmm")</f>
        <v>Jul</v>
      </c>
      <c r="C78" t="s">
        <v>9</v>
      </c>
      <c r="D78" t="s">
        <v>13</v>
      </c>
      <c r="E78" t="s">
        <v>24</v>
      </c>
      <c r="F78" t="s">
        <v>12</v>
      </c>
      <c r="G78">
        <v>7.75</v>
      </c>
      <c r="H78">
        <v>4</v>
      </c>
      <c r="I78">
        <f>Table1[[#This Row],[Price]]*Table1[[#This Row],[Qty]]</f>
        <v>31</v>
      </c>
    </row>
    <row r="79" spans="1:9" x14ac:dyDescent="0.25">
      <c r="A79" s="1">
        <v>42214</v>
      </c>
      <c r="B79" s="1" t="str">
        <f>TEXT(Table1[[#This Row],[Date]],"mmm")</f>
        <v>Jul</v>
      </c>
      <c r="C79" t="s">
        <v>9</v>
      </c>
      <c r="D79" t="s">
        <v>16</v>
      </c>
      <c r="E79" t="s">
        <v>23</v>
      </c>
      <c r="F79" t="s">
        <v>15</v>
      </c>
      <c r="G79">
        <v>24</v>
      </c>
      <c r="H79">
        <v>5</v>
      </c>
      <c r="I79">
        <f>Table1[[#This Row],[Price]]*Table1[[#This Row],[Qty]]</f>
        <v>120</v>
      </c>
    </row>
    <row r="80" spans="1:9" x14ac:dyDescent="0.25">
      <c r="A80" s="1">
        <v>42215</v>
      </c>
      <c r="B80" s="1" t="str">
        <f>TEXT(Table1[[#This Row],[Date]],"mmm")</f>
        <v>Jul</v>
      </c>
      <c r="C80" t="s">
        <v>9</v>
      </c>
      <c r="D80" t="s">
        <v>17</v>
      </c>
      <c r="E80" t="s">
        <v>19</v>
      </c>
      <c r="F80" t="s">
        <v>18</v>
      </c>
      <c r="G80">
        <v>38</v>
      </c>
      <c r="H80">
        <v>2</v>
      </c>
      <c r="I80">
        <f>Table1[[#This Row],[Price]]*Table1[[#This Row],[Qty]]</f>
        <v>76</v>
      </c>
    </row>
    <row r="81" spans="1:9" x14ac:dyDescent="0.25">
      <c r="A81" s="1">
        <v>42223</v>
      </c>
      <c r="B81" s="1" t="str">
        <f>TEXT(Table1[[#This Row],[Date]],"mmm")</f>
        <v>Aug</v>
      </c>
      <c r="C81" t="s">
        <v>9</v>
      </c>
      <c r="D81" t="s">
        <v>10</v>
      </c>
      <c r="E81" t="s">
        <v>25</v>
      </c>
      <c r="F81" t="s">
        <v>15</v>
      </c>
      <c r="G81">
        <v>14</v>
      </c>
      <c r="H81">
        <v>5</v>
      </c>
      <c r="I81">
        <f>Table1[[#This Row],[Price]]*Table1[[#This Row],[Qty]]</f>
        <v>70</v>
      </c>
    </row>
    <row r="82" spans="1:9" x14ac:dyDescent="0.25">
      <c r="A82" s="1">
        <v>42223</v>
      </c>
      <c r="B82" s="1" t="str">
        <f>TEXT(Table1[[#This Row],[Date]],"mmm")</f>
        <v>Aug</v>
      </c>
      <c r="C82" t="s">
        <v>9</v>
      </c>
      <c r="D82" t="s">
        <v>13</v>
      </c>
      <c r="E82" t="s">
        <v>11</v>
      </c>
      <c r="F82" t="s">
        <v>15</v>
      </c>
      <c r="G82">
        <v>21.5</v>
      </c>
      <c r="H82">
        <v>2</v>
      </c>
      <c r="I82">
        <f>Table1[[#This Row],[Price]]*Table1[[#This Row],[Qty]]</f>
        <v>43</v>
      </c>
    </row>
    <row r="83" spans="1:9" x14ac:dyDescent="0.25">
      <c r="A83" s="1">
        <v>42224</v>
      </c>
      <c r="B83" s="1" t="str">
        <f>TEXT(Table1[[#This Row],[Date]],"mmm")</f>
        <v>Aug</v>
      </c>
      <c r="C83" t="s">
        <v>9</v>
      </c>
      <c r="D83" t="s">
        <v>16</v>
      </c>
      <c r="E83" t="s">
        <v>14</v>
      </c>
      <c r="F83" t="s">
        <v>15</v>
      </c>
      <c r="G83">
        <v>53</v>
      </c>
      <c r="H83">
        <v>15</v>
      </c>
      <c r="I83">
        <f>Table1[[#This Row],[Price]]*Table1[[#This Row],[Qty]]</f>
        <v>795</v>
      </c>
    </row>
    <row r="84" spans="1:9" x14ac:dyDescent="0.25">
      <c r="A84" s="1">
        <v>42231</v>
      </c>
      <c r="B84" s="1" t="str">
        <f>TEXT(Table1[[#This Row],[Date]],"mmm")</f>
        <v>Aug</v>
      </c>
      <c r="C84" t="s">
        <v>9</v>
      </c>
      <c r="D84" t="s">
        <v>17</v>
      </c>
      <c r="E84" t="s">
        <v>25</v>
      </c>
      <c r="F84" t="s">
        <v>12</v>
      </c>
      <c r="G84">
        <v>13.25</v>
      </c>
      <c r="H84">
        <v>6</v>
      </c>
      <c r="I84">
        <f>Table1[[#This Row],[Price]]*Table1[[#This Row],[Qty]]</f>
        <v>79.5</v>
      </c>
    </row>
    <row r="85" spans="1:9" x14ac:dyDescent="0.25">
      <c r="A85" s="1">
        <v>42237</v>
      </c>
      <c r="B85" s="1" t="str">
        <f>TEXT(Table1[[#This Row],[Date]],"mmm")</f>
        <v>Aug</v>
      </c>
      <c r="C85" t="s">
        <v>9</v>
      </c>
      <c r="D85" t="s">
        <v>10</v>
      </c>
      <c r="E85" t="s">
        <v>23</v>
      </c>
      <c r="F85" t="s">
        <v>15</v>
      </c>
      <c r="G85">
        <v>19</v>
      </c>
      <c r="H85">
        <v>5</v>
      </c>
      <c r="I85">
        <f>Table1[[#This Row],[Price]]*Table1[[#This Row],[Qty]]</f>
        <v>95</v>
      </c>
    </row>
    <row r="86" spans="1:9" x14ac:dyDescent="0.25">
      <c r="A86" s="1">
        <v>42238</v>
      </c>
      <c r="B86" s="1" t="str">
        <f>TEXT(Table1[[#This Row],[Date]],"mmm")</f>
        <v>Aug</v>
      </c>
      <c r="C86" t="s">
        <v>9</v>
      </c>
      <c r="D86" t="s">
        <v>13</v>
      </c>
      <c r="E86" t="s">
        <v>11</v>
      </c>
      <c r="F86" t="s">
        <v>12</v>
      </c>
      <c r="G86">
        <v>18.399999999999999</v>
      </c>
      <c r="H86">
        <v>6</v>
      </c>
      <c r="I86">
        <f>Table1[[#This Row],[Price]]*Table1[[#This Row],[Qty]]</f>
        <v>110.39999999999999</v>
      </c>
    </row>
    <row r="87" spans="1:9" x14ac:dyDescent="0.25">
      <c r="A87" s="1">
        <v>42238</v>
      </c>
      <c r="B87" s="1" t="str">
        <f>TEXT(Table1[[#This Row],[Date]],"mmm")</f>
        <v>Aug</v>
      </c>
      <c r="C87" t="s">
        <v>9</v>
      </c>
      <c r="D87" t="s">
        <v>16</v>
      </c>
      <c r="E87" t="s">
        <v>20</v>
      </c>
      <c r="F87" t="s">
        <v>12</v>
      </c>
      <c r="G87">
        <v>62.5</v>
      </c>
      <c r="H87">
        <v>4</v>
      </c>
      <c r="I87">
        <f>Table1[[#This Row],[Price]]*Table1[[#This Row],[Qty]]</f>
        <v>250</v>
      </c>
    </row>
    <row r="88" spans="1:9" x14ac:dyDescent="0.25">
      <c r="A88" s="1">
        <v>42241</v>
      </c>
      <c r="B88" s="1" t="str">
        <f>TEXT(Table1[[#This Row],[Date]],"mmm")</f>
        <v>Aug</v>
      </c>
      <c r="C88" t="s">
        <v>9</v>
      </c>
      <c r="D88" t="s">
        <v>17</v>
      </c>
      <c r="E88" t="s">
        <v>24</v>
      </c>
      <c r="F88" t="s">
        <v>12</v>
      </c>
      <c r="G88">
        <v>31</v>
      </c>
      <c r="H88">
        <v>18</v>
      </c>
      <c r="I88">
        <f>Table1[[#This Row],[Price]]*Table1[[#This Row],[Qty]]</f>
        <v>558</v>
      </c>
    </row>
    <row r="89" spans="1:9" x14ac:dyDescent="0.25">
      <c r="A89" s="1">
        <v>42243</v>
      </c>
      <c r="B89" s="1" t="str">
        <f>TEXT(Table1[[#This Row],[Date]],"mmm")</f>
        <v>Aug</v>
      </c>
      <c r="C89" t="s">
        <v>9</v>
      </c>
      <c r="D89" t="s">
        <v>10</v>
      </c>
      <c r="E89" t="s">
        <v>20</v>
      </c>
      <c r="F89" t="s">
        <v>18</v>
      </c>
      <c r="G89">
        <v>32.799999999999997</v>
      </c>
      <c r="H89">
        <v>25</v>
      </c>
      <c r="I89">
        <f>Table1[[#This Row],[Price]]*Table1[[#This Row],[Qty]]</f>
        <v>819.99999999999989</v>
      </c>
    </row>
    <row r="90" spans="1:9" x14ac:dyDescent="0.25">
      <c r="A90" s="1">
        <v>42244</v>
      </c>
      <c r="B90" s="1" t="str">
        <f>TEXT(Table1[[#This Row],[Date]],"mmm")</f>
        <v>Aug</v>
      </c>
      <c r="C90" t="s">
        <v>9</v>
      </c>
      <c r="D90" t="s">
        <v>13</v>
      </c>
      <c r="E90" t="s">
        <v>14</v>
      </c>
      <c r="F90" t="s">
        <v>18</v>
      </c>
      <c r="G90">
        <v>25.89</v>
      </c>
      <c r="H90">
        <v>3</v>
      </c>
      <c r="I90">
        <f>Table1[[#This Row],[Price]]*Table1[[#This Row],[Qty]]</f>
        <v>77.67</v>
      </c>
    </row>
    <row r="91" spans="1:9" x14ac:dyDescent="0.25">
      <c r="A91" s="1">
        <v>42245</v>
      </c>
      <c r="B91" s="1" t="str">
        <f>TEXT(Table1[[#This Row],[Date]],"mmm")</f>
        <v>Aug</v>
      </c>
      <c r="C91" t="s">
        <v>9</v>
      </c>
      <c r="D91" t="s">
        <v>16</v>
      </c>
      <c r="E91" t="s">
        <v>19</v>
      </c>
      <c r="F91" t="s">
        <v>12</v>
      </c>
      <c r="G91">
        <v>25.89</v>
      </c>
      <c r="H91">
        <v>2</v>
      </c>
      <c r="I91">
        <f>Table1[[#This Row],[Price]]*Table1[[#This Row],[Qty]]</f>
        <v>51.78</v>
      </c>
    </row>
    <row r="92" spans="1:9" x14ac:dyDescent="0.25">
      <c r="A92" s="1">
        <v>42248</v>
      </c>
      <c r="B92" s="1" t="str">
        <f>TEXT(Table1[[#This Row],[Date]],"mmm")</f>
        <v>Sep</v>
      </c>
      <c r="C92" t="s">
        <v>9</v>
      </c>
      <c r="D92" t="s">
        <v>17</v>
      </c>
      <c r="E92" t="s">
        <v>24</v>
      </c>
      <c r="F92" t="s">
        <v>15</v>
      </c>
      <c r="G92">
        <v>18</v>
      </c>
      <c r="H92">
        <v>2</v>
      </c>
      <c r="I92">
        <f>Table1[[#This Row],[Price]]*Table1[[#This Row],[Qty]]</f>
        <v>36</v>
      </c>
    </row>
    <row r="93" spans="1:9" x14ac:dyDescent="0.25">
      <c r="A93" s="1">
        <v>42255</v>
      </c>
      <c r="B93" s="1" t="str">
        <f>TEXT(Table1[[#This Row],[Date]],"mmm")</f>
        <v>Sep</v>
      </c>
      <c r="C93" t="s">
        <v>9</v>
      </c>
      <c r="D93" t="s">
        <v>10</v>
      </c>
      <c r="E93" t="s">
        <v>11</v>
      </c>
      <c r="F93" t="s">
        <v>12</v>
      </c>
      <c r="G93">
        <v>12.5</v>
      </c>
      <c r="H93">
        <v>1</v>
      </c>
      <c r="I93">
        <f>Table1[[#This Row],[Price]]*Table1[[#This Row],[Qty]]</f>
        <v>12.5</v>
      </c>
    </row>
    <row r="94" spans="1:9" x14ac:dyDescent="0.25">
      <c r="A94" s="1">
        <v>42256</v>
      </c>
      <c r="B94" s="1" t="str">
        <f>TEXT(Table1[[#This Row],[Date]],"mmm")</f>
        <v>Sep</v>
      </c>
      <c r="C94" t="s">
        <v>9</v>
      </c>
      <c r="D94" t="s">
        <v>13</v>
      </c>
      <c r="E94" t="s">
        <v>20</v>
      </c>
      <c r="F94" t="s">
        <v>18</v>
      </c>
      <c r="G94">
        <v>53</v>
      </c>
      <c r="H94">
        <v>2</v>
      </c>
      <c r="I94">
        <f>Table1[[#This Row],[Price]]*Table1[[#This Row],[Qty]]</f>
        <v>106</v>
      </c>
    </row>
    <row r="95" spans="1:9" x14ac:dyDescent="0.25">
      <c r="A95" s="1">
        <v>42256</v>
      </c>
      <c r="B95" s="1" t="str">
        <f>TEXT(Table1[[#This Row],[Date]],"mmm")</f>
        <v>Sep</v>
      </c>
      <c r="C95" t="s">
        <v>9</v>
      </c>
      <c r="D95" t="s">
        <v>16</v>
      </c>
      <c r="E95" t="s">
        <v>11</v>
      </c>
      <c r="F95" t="s">
        <v>18</v>
      </c>
      <c r="G95">
        <v>31</v>
      </c>
      <c r="H95">
        <v>24</v>
      </c>
      <c r="I95">
        <f>Table1[[#This Row],[Price]]*Table1[[#This Row],[Qty]]</f>
        <v>744</v>
      </c>
    </row>
    <row r="96" spans="1:9" x14ac:dyDescent="0.25">
      <c r="A96" s="1">
        <v>42257</v>
      </c>
      <c r="B96" s="1" t="str">
        <f>TEXT(Table1[[#This Row],[Date]],"mmm")</f>
        <v>Sep</v>
      </c>
      <c r="C96" t="s">
        <v>9</v>
      </c>
      <c r="D96" t="s">
        <v>17</v>
      </c>
      <c r="E96" t="s">
        <v>24</v>
      </c>
      <c r="F96" t="s">
        <v>18</v>
      </c>
      <c r="G96">
        <v>36</v>
      </c>
      <c r="H96">
        <v>45</v>
      </c>
      <c r="I96">
        <f>Table1[[#This Row],[Price]]*Table1[[#This Row],[Qty]]</f>
        <v>1620</v>
      </c>
    </row>
    <row r="97" spans="1:9" x14ac:dyDescent="0.25">
      <c r="A97" s="1">
        <v>42264</v>
      </c>
      <c r="B97" s="1" t="str">
        <f>TEXT(Table1[[#This Row],[Date]],"mmm")</f>
        <v>Sep</v>
      </c>
      <c r="C97" t="s">
        <v>9</v>
      </c>
      <c r="D97" t="s">
        <v>10</v>
      </c>
      <c r="E97" t="s">
        <v>11</v>
      </c>
      <c r="F97" t="s">
        <v>18</v>
      </c>
      <c r="G97">
        <v>31.23</v>
      </c>
      <c r="H97">
        <v>3</v>
      </c>
      <c r="I97">
        <f>Table1[[#This Row],[Price]]*Table1[[#This Row],[Qty]]</f>
        <v>93.69</v>
      </c>
    </row>
    <row r="98" spans="1:9" x14ac:dyDescent="0.25">
      <c r="A98" s="1">
        <v>42269</v>
      </c>
      <c r="B98" s="1" t="str">
        <f>TEXT(Table1[[#This Row],[Date]],"mmm")</f>
        <v>Sep</v>
      </c>
      <c r="C98" t="s">
        <v>9</v>
      </c>
      <c r="D98" t="s">
        <v>13</v>
      </c>
      <c r="E98" t="s">
        <v>23</v>
      </c>
      <c r="F98" t="s">
        <v>18</v>
      </c>
      <c r="G98">
        <v>55</v>
      </c>
      <c r="H98">
        <v>12</v>
      </c>
      <c r="I98">
        <f>Table1[[#This Row],[Price]]*Table1[[#This Row],[Qty]]</f>
        <v>660</v>
      </c>
    </row>
    <row r="99" spans="1:9" x14ac:dyDescent="0.25">
      <c r="A99" s="1">
        <v>42269</v>
      </c>
      <c r="B99" s="1" t="str">
        <f>TEXT(Table1[[#This Row],[Date]],"mmm")</f>
        <v>Sep</v>
      </c>
      <c r="C99" t="s">
        <v>9</v>
      </c>
      <c r="D99" t="s">
        <v>16</v>
      </c>
      <c r="E99" t="s">
        <v>11</v>
      </c>
      <c r="F99" t="s">
        <v>15</v>
      </c>
      <c r="G99">
        <v>38</v>
      </c>
      <c r="H99">
        <v>1</v>
      </c>
      <c r="I99">
        <f>Table1[[#This Row],[Price]]*Table1[[#This Row],[Qty]]</f>
        <v>38</v>
      </c>
    </row>
    <row r="100" spans="1:9" x14ac:dyDescent="0.25">
      <c r="A100" s="1">
        <v>42270</v>
      </c>
      <c r="B100" s="1" t="str">
        <f>TEXT(Table1[[#This Row],[Date]],"mmm")</f>
        <v>Sep</v>
      </c>
      <c r="C100" t="s">
        <v>9</v>
      </c>
      <c r="D100" t="s">
        <v>17</v>
      </c>
      <c r="E100" t="s">
        <v>23</v>
      </c>
      <c r="F100" t="s">
        <v>15</v>
      </c>
      <c r="G100">
        <v>9.1999999999999993</v>
      </c>
      <c r="H100">
        <v>3</v>
      </c>
      <c r="I100">
        <f>Table1[[#This Row],[Price]]*Table1[[#This Row],[Qty]]</f>
        <v>27.599999999999998</v>
      </c>
    </row>
    <row r="101" spans="1:9" x14ac:dyDescent="0.25">
      <c r="A101" s="1">
        <v>42273</v>
      </c>
      <c r="B101" s="1" t="str">
        <f>TEXT(Table1[[#This Row],[Date]],"mmm")</f>
        <v>Sep</v>
      </c>
      <c r="C101" t="s">
        <v>9</v>
      </c>
      <c r="D101" t="s">
        <v>10</v>
      </c>
      <c r="E101" t="s">
        <v>14</v>
      </c>
      <c r="F101" t="s">
        <v>12</v>
      </c>
      <c r="G101">
        <v>31</v>
      </c>
      <c r="H101">
        <v>2</v>
      </c>
      <c r="I101">
        <f>Table1[[#This Row],[Price]]*Table1[[#This Row],[Qty]]</f>
        <v>62</v>
      </c>
    </row>
    <row r="102" spans="1:9" x14ac:dyDescent="0.25">
      <c r="A102" s="1">
        <v>42276</v>
      </c>
      <c r="B102" s="1" t="str">
        <f>TEXT(Table1[[#This Row],[Date]],"mmm")</f>
        <v>Sep</v>
      </c>
      <c r="C102" t="s">
        <v>9</v>
      </c>
      <c r="D102" t="s">
        <v>13</v>
      </c>
      <c r="E102" t="s">
        <v>11</v>
      </c>
      <c r="F102" t="s">
        <v>12</v>
      </c>
      <c r="G102">
        <v>19</v>
      </c>
      <c r="H102">
        <v>6</v>
      </c>
      <c r="I102">
        <f>Table1[[#This Row],[Price]]*Table1[[#This Row],[Qty]]</f>
        <v>114</v>
      </c>
    </row>
    <row r="103" spans="1:9" x14ac:dyDescent="0.25">
      <c r="A103" s="1">
        <v>42276</v>
      </c>
      <c r="B103" s="1" t="str">
        <f>TEXT(Table1[[#This Row],[Date]],"mmm")</f>
        <v>Sep</v>
      </c>
      <c r="C103" t="s">
        <v>9</v>
      </c>
      <c r="D103" t="s">
        <v>16</v>
      </c>
      <c r="E103" t="s">
        <v>24</v>
      </c>
      <c r="F103" t="s">
        <v>15</v>
      </c>
      <c r="G103">
        <v>97</v>
      </c>
      <c r="H103">
        <v>5</v>
      </c>
      <c r="I103">
        <f>Table1[[#This Row],[Price]]*Table1[[#This Row],[Qty]]</f>
        <v>485</v>
      </c>
    </row>
    <row r="104" spans="1:9" x14ac:dyDescent="0.25">
      <c r="A104" s="1">
        <v>42277</v>
      </c>
      <c r="B104" s="1" t="str">
        <f>TEXT(Table1[[#This Row],[Date]],"mmm")</f>
        <v>Sep</v>
      </c>
      <c r="C104" t="s">
        <v>9</v>
      </c>
      <c r="D104" t="s">
        <v>17</v>
      </c>
      <c r="E104" t="s">
        <v>19</v>
      </c>
      <c r="F104" t="s">
        <v>15</v>
      </c>
      <c r="G104">
        <v>7.45</v>
      </c>
      <c r="H104">
        <v>6</v>
      </c>
      <c r="I104">
        <f>Table1[[#This Row],[Price]]*Table1[[#This Row],[Qty]]</f>
        <v>44.7</v>
      </c>
    </row>
    <row r="105" spans="1:9" x14ac:dyDescent="0.25">
      <c r="A105" s="1">
        <v>42284</v>
      </c>
      <c r="B105" s="1" t="str">
        <f>TEXT(Table1[[#This Row],[Date]],"mmm")</f>
        <v>Oct</v>
      </c>
      <c r="C105" t="s">
        <v>9</v>
      </c>
      <c r="D105" t="s">
        <v>10</v>
      </c>
      <c r="E105" t="s">
        <v>23</v>
      </c>
      <c r="F105" t="s">
        <v>18</v>
      </c>
      <c r="G105">
        <v>13.25</v>
      </c>
      <c r="H105">
        <v>3</v>
      </c>
      <c r="I105">
        <f>Table1[[#This Row],[Price]]*Table1[[#This Row],[Qty]]</f>
        <v>39.75</v>
      </c>
    </row>
    <row r="106" spans="1:9" x14ac:dyDescent="0.25">
      <c r="A106" s="1">
        <v>42285</v>
      </c>
      <c r="B106" s="1" t="str">
        <f>TEXT(Table1[[#This Row],[Date]],"mmm")</f>
        <v>Oct</v>
      </c>
      <c r="C106" t="s">
        <v>9</v>
      </c>
      <c r="D106" t="s">
        <v>13</v>
      </c>
      <c r="E106" t="s">
        <v>19</v>
      </c>
      <c r="F106" t="s">
        <v>12</v>
      </c>
      <c r="G106">
        <v>14</v>
      </c>
      <c r="H106">
        <v>12</v>
      </c>
      <c r="I106">
        <f>Table1[[#This Row],[Price]]*Table1[[#This Row],[Qty]]</f>
        <v>168</v>
      </c>
    </row>
    <row r="107" spans="1:9" x14ac:dyDescent="0.25">
      <c r="A107" s="1">
        <v>42285</v>
      </c>
      <c r="B107" s="1" t="str">
        <f>TEXT(Table1[[#This Row],[Date]],"mmm")</f>
        <v>Oct</v>
      </c>
      <c r="C107" t="s">
        <v>9</v>
      </c>
      <c r="D107" t="s">
        <v>16</v>
      </c>
      <c r="E107" t="s">
        <v>24</v>
      </c>
      <c r="F107" t="s">
        <v>15</v>
      </c>
      <c r="G107">
        <v>12.5</v>
      </c>
      <c r="H107">
        <v>4</v>
      </c>
      <c r="I107">
        <f>Table1[[#This Row],[Price]]*Table1[[#This Row],[Qty]]</f>
        <v>50</v>
      </c>
    </row>
    <row r="108" spans="1:9" x14ac:dyDescent="0.25">
      <c r="A108" s="1">
        <v>42287</v>
      </c>
      <c r="B108" s="1" t="str">
        <f>TEXT(Table1[[#This Row],[Date]],"mmm")</f>
        <v>Oct</v>
      </c>
      <c r="C108" t="s">
        <v>9</v>
      </c>
      <c r="D108" t="s">
        <v>17</v>
      </c>
      <c r="E108" t="s">
        <v>11</v>
      </c>
      <c r="F108" t="s">
        <v>12</v>
      </c>
      <c r="G108">
        <v>19</v>
      </c>
      <c r="H108">
        <v>5</v>
      </c>
      <c r="I108">
        <f>Table1[[#This Row],[Price]]*Table1[[#This Row],[Qty]]</f>
        <v>95</v>
      </c>
    </row>
    <row r="109" spans="1:9" x14ac:dyDescent="0.25">
      <c r="A109" s="1">
        <v>42294</v>
      </c>
      <c r="B109" s="1" t="str">
        <f>TEXT(Table1[[#This Row],[Date]],"mmm")</f>
        <v>Oct</v>
      </c>
      <c r="C109" t="s">
        <v>9</v>
      </c>
      <c r="D109" t="s">
        <v>10</v>
      </c>
      <c r="E109" t="s">
        <v>23</v>
      </c>
      <c r="F109" t="s">
        <v>18</v>
      </c>
      <c r="G109">
        <v>31</v>
      </c>
      <c r="H109">
        <v>18</v>
      </c>
      <c r="I109">
        <f>Table1[[#This Row],[Price]]*Table1[[#This Row],[Qty]]</f>
        <v>558</v>
      </c>
    </row>
    <row r="110" spans="1:9" x14ac:dyDescent="0.25">
      <c r="A110" s="1">
        <v>42294</v>
      </c>
      <c r="B110" s="1" t="str">
        <f>TEXT(Table1[[#This Row],[Date]],"mmm")</f>
        <v>Oct</v>
      </c>
      <c r="C110" t="s">
        <v>9</v>
      </c>
      <c r="D110" t="s">
        <v>13</v>
      </c>
      <c r="E110" t="s">
        <v>25</v>
      </c>
      <c r="F110" t="s">
        <v>12</v>
      </c>
      <c r="G110">
        <v>12</v>
      </c>
      <c r="H110">
        <v>24</v>
      </c>
      <c r="I110">
        <f>Table1[[#This Row],[Price]]*Table1[[#This Row],[Qty]]</f>
        <v>288</v>
      </c>
    </row>
    <row r="111" spans="1:9" x14ac:dyDescent="0.25">
      <c r="A111" s="1">
        <v>42299</v>
      </c>
      <c r="B111" s="1" t="str">
        <f>TEXT(Table1[[#This Row],[Date]],"mmm")</f>
        <v>Oct</v>
      </c>
      <c r="C111" t="s">
        <v>9</v>
      </c>
      <c r="D111" t="s">
        <v>16</v>
      </c>
      <c r="E111" t="s">
        <v>24</v>
      </c>
      <c r="F111" t="s">
        <v>12</v>
      </c>
      <c r="G111">
        <v>39</v>
      </c>
      <c r="H111">
        <v>27</v>
      </c>
      <c r="I111">
        <f>Table1[[#This Row],[Price]]*Table1[[#This Row],[Qty]]</f>
        <v>1053</v>
      </c>
    </row>
    <row r="112" spans="1:9" x14ac:dyDescent="0.25">
      <c r="A112" s="1">
        <v>42299</v>
      </c>
      <c r="B112" s="1" t="str">
        <f>TEXT(Table1[[#This Row],[Date]],"mmm")</f>
        <v>Oct</v>
      </c>
      <c r="C112" t="s">
        <v>9</v>
      </c>
      <c r="D112" t="s">
        <v>17</v>
      </c>
      <c r="E112" t="s">
        <v>19</v>
      </c>
      <c r="F112" t="s">
        <v>15</v>
      </c>
      <c r="G112">
        <v>53</v>
      </c>
      <c r="H112">
        <v>7</v>
      </c>
      <c r="I112">
        <f>Table1[[#This Row],[Price]]*Table1[[#This Row],[Qty]]</f>
        <v>371</v>
      </c>
    </row>
    <row r="113" spans="1:9" x14ac:dyDescent="0.25">
      <c r="A113" s="1">
        <v>42301</v>
      </c>
      <c r="B113" s="1" t="str">
        <f>TEXT(Table1[[#This Row],[Date]],"mmm")</f>
        <v>Oct</v>
      </c>
      <c r="C113" t="s">
        <v>9</v>
      </c>
      <c r="D113" t="s">
        <v>10</v>
      </c>
      <c r="E113" t="s">
        <v>19</v>
      </c>
      <c r="F113" t="s">
        <v>15</v>
      </c>
      <c r="G113">
        <v>17.45</v>
      </c>
      <c r="H113">
        <v>2</v>
      </c>
      <c r="I113">
        <f>Table1[[#This Row],[Price]]*Table1[[#This Row],[Qty]]</f>
        <v>34.9</v>
      </c>
    </row>
    <row r="114" spans="1:9" x14ac:dyDescent="0.25">
      <c r="A114" s="1">
        <v>42301</v>
      </c>
      <c r="B114" s="1" t="str">
        <f>TEXT(Table1[[#This Row],[Date]],"mmm")</f>
        <v>Oct</v>
      </c>
      <c r="C114" t="s">
        <v>9</v>
      </c>
      <c r="D114" t="s">
        <v>13</v>
      </c>
      <c r="E114" t="s">
        <v>23</v>
      </c>
      <c r="F114" t="s">
        <v>15</v>
      </c>
      <c r="G114">
        <v>19</v>
      </c>
      <c r="H114">
        <v>4</v>
      </c>
      <c r="I114">
        <f>Table1[[#This Row],[Price]]*Table1[[#This Row],[Qty]]</f>
        <v>76</v>
      </c>
    </row>
    <row r="115" spans="1:9" x14ac:dyDescent="0.25">
      <c r="A115" s="1">
        <v>42304</v>
      </c>
      <c r="B115" s="1" t="str">
        <f>TEXT(Table1[[#This Row],[Date]],"mmm")</f>
        <v>Oct</v>
      </c>
      <c r="C115" t="s">
        <v>9</v>
      </c>
      <c r="D115" t="s">
        <v>16</v>
      </c>
      <c r="E115" t="s">
        <v>11</v>
      </c>
      <c r="F115" t="s">
        <v>12</v>
      </c>
      <c r="G115">
        <v>21.5</v>
      </c>
      <c r="H115">
        <v>8</v>
      </c>
      <c r="I115">
        <f>Table1[[#This Row],[Price]]*Table1[[#This Row],[Qty]]</f>
        <v>172</v>
      </c>
    </row>
    <row r="116" spans="1:9" x14ac:dyDescent="0.25">
      <c r="A116" s="1">
        <v>42305</v>
      </c>
      <c r="B116" s="1" t="str">
        <f>TEXT(Table1[[#This Row],[Date]],"mmm")</f>
        <v>Oct</v>
      </c>
      <c r="C116" t="s">
        <v>9</v>
      </c>
      <c r="D116" t="s">
        <v>17</v>
      </c>
      <c r="E116" t="s">
        <v>23</v>
      </c>
      <c r="F116" t="s">
        <v>15</v>
      </c>
      <c r="G116">
        <v>7.75</v>
      </c>
      <c r="H116">
        <v>42</v>
      </c>
      <c r="I116">
        <f>Table1[[#This Row],[Price]]*Table1[[#This Row],[Qty]]</f>
        <v>325.5</v>
      </c>
    </row>
    <row r="117" spans="1:9" x14ac:dyDescent="0.25">
      <c r="A117" s="1">
        <v>42306</v>
      </c>
      <c r="B117" s="1" t="str">
        <f>TEXT(Table1[[#This Row],[Date]],"mmm")</f>
        <v>Oct</v>
      </c>
      <c r="C117" t="s">
        <v>9</v>
      </c>
      <c r="D117" t="s">
        <v>10</v>
      </c>
      <c r="E117" t="s">
        <v>22</v>
      </c>
      <c r="F117" t="s">
        <v>12</v>
      </c>
      <c r="G117">
        <v>9.65</v>
      </c>
      <c r="H117">
        <v>12</v>
      </c>
      <c r="I117">
        <f>Table1[[#This Row],[Price]]*Table1[[#This Row],[Qty]]</f>
        <v>115.80000000000001</v>
      </c>
    </row>
    <row r="118" spans="1:9" x14ac:dyDescent="0.25">
      <c r="A118" s="1">
        <v>42308</v>
      </c>
      <c r="B118" s="1" t="str">
        <f>TEXT(Table1[[#This Row],[Date]],"mmm")</f>
        <v>Oct</v>
      </c>
      <c r="C118" t="s">
        <v>9</v>
      </c>
      <c r="D118" t="s">
        <v>13</v>
      </c>
      <c r="E118" t="s">
        <v>19</v>
      </c>
      <c r="F118" t="s">
        <v>18</v>
      </c>
      <c r="G118">
        <v>21</v>
      </c>
      <c r="H118">
        <v>5</v>
      </c>
      <c r="I118">
        <f>Table1[[#This Row],[Price]]*Table1[[#This Row],[Qty]]</f>
        <v>105</v>
      </c>
    </row>
    <row r="119" spans="1:9" x14ac:dyDescent="0.25">
      <c r="A119" s="1">
        <v>42308</v>
      </c>
      <c r="B119" s="1" t="str">
        <f>TEXT(Table1[[#This Row],[Date]],"mmm")</f>
        <v>Oct</v>
      </c>
      <c r="C119" t="s">
        <v>9</v>
      </c>
      <c r="D119" t="s">
        <v>16</v>
      </c>
      <c r="E119" t="s">
        <v>24</v>
      </c>
      <c r="F119" t="s">
        <v>18</v>
      </c>
      <c r="G119">
        <v>12.5</v>
      </c>
      <c r="H119">
        <v>3</v>
      </c>
      <c r="I119">
        <f>Table1[[#This Row],[Price]]*Table1[[#This Row],[Qty]]</f>
        <v>37.5</v>
      </c>
    </row>
    <row r="120" spans="1:9" x14ac:dyDescent="0.25">
      <c r="A120" s="1">
        <v>42313</v>
      </c>
      <c r="B120" s="1" t="str">
        <f>TEXT(Table1[[#This Row],[Date]],"mmm")</f>
        <v>Nov</v>
      </c>
      <c r="C120" t="s">
        <v>9</v>
      </c>
      <c r="D120" t="s">
        <v>17</v>
      </c>
      <c r="E120" t="s">
        <v>23</v>
      </c>
      <c r="F120" t="s">
        <v>15</v>
      </c>
      <c r="G120">
        <v>17.45</v>
      </c>
      <c r="H120">
        <v>15</v>
      </c>
      <c r="I120">
        <f>Table1[[#This Row],[Price]]*Table1[[#This Row],[Qty]]</f>
        <v>261.75</v>
      </c>
    </row>
    <row r="121" spans="1:9" x14ac:dyDescent="0.25">
      <c r="A121" s="1">
        <v>42315</v>
      </c>
      <c r="B121" s="1" t="str">
        <f>TEXT(Table1[[#This Row],[Date]],"mmm")</f>
        <v>Nov</v>
      </c>
      <c r="C121" t="s">
        <v>9</v>
      </c>
      <c r="D121" t="s">
        <v>10</v>
      </c>
      <c r="E121" t="s">
        <v>25</v>
      </c>
      <c r="F121" t="s">
        <v>12</v>
      </c>
      <c r="G121">
        <v>6</v>
      </c>
      <c r="H121">
        <v>4</v>
      </c>
      <c r="I121">
        <f>Table1[[#This Row],[Price]]*Table1[[#This Row],[Qty]]</f>
        <v>24</v>
      </c>
    </row>
    <row r="122" spans="1:9" x14ac:dyDescent="0.25">
      <c r="A122" s="1">
        <v>42315</v>
      </c>
      <c r="B122" s="1" t="str">
        <f>TEXT(Table1[[#This Row],[Date]],"mmm")</f>
        <v>Nov</v>
      </c>
      <c r="C122" t="s">
        <v>9</v>
      </c>
      <c r="D122" t="s">
        <v>13</v>
      </c>
      <c r="E122" t="s">
        <v>20</v>
      </c>
      <c r="F122" t="s">
        <v>18</v>
      </c>
      <c r="G122">
        <v>38</v>
      </c>
      <c r="H122">
        <v>14</v>
      </c>
      <c r="I122">
        <f>Table1[[#This Row],[Price]]*Table1[[#This Row],[Qty]]</f>
        <v>532</v>
      </c>
    </row>
    <row r="123" spans="1:9" x14ac:dyDescent="0.25">
      <c r="A123" s="1">
        <v>42319</v>
      </c>
      <c r="B123" s="1" t="str">
        <f>TEXT(Table1[[#This Row],[Date]],"mmm")</f>
        <v>Nov</v>
      </c>
      <c r="C123" t="s">
        <v>9</v>
      </c>
      <c r="D123" t="s">
        <v>16</v>
      </c>
      <c r="E123" t="s">
        <v>24</v>
      </c>
      <c r="F123" t="s">
        <v>18</v>
      </c>
      <c r="G123">
        <v>9.5</v>
      </c>
      <c r="H123">
        <v>4</v>
      </c>
      <c r="I123">
        <f>Table1[[#This Row],[Price]]*Table1[[#This Row],[Qty]]</f>
        <v>38</v>
      </c>
    </row>
    <row r="124" spans="1:9" x14ac:dyDescent="0.25">
      <c r="A124" s="1">
        <v>42321</v>
      </c>
      <c r="B124" s="1" t="str">
        <f>TEXT(Table1[[#This Row],[Date]],"mmm")</f>
        <v>Nov</v>
      </c>
      <c r="C124" t="s">
        <v>9</v>
      </c>
      <c r="D124" t="s">
        <v>17</v>
      </c>
      <c r="E124" t="s">
        <v>24</v>
      </c>
      <c r="F124" t="s">
        <v>12</v>
      </c>
      <c r="G124">
        <v>18.399999999999999</v>
      </c>
      <c r="H124">
        <v>5</v>
      </c>
      <c r="I124">
        <f>Table1[[#This Row],[Price]]*Table1[[#This Row],[Qty]]</f>
        <v>92</v>
      </c>
    </row>
    <row r="125" spans="1:9" x14ac:dyDescent="0.25">
      <c r="A125" s="1">
        <v>42327</v>
      </c>
      <c r="B125" s="1" t="str">
        <f>TEXT(Table1[[#This Row],[Date]],"mmm")</f>
        <v>Nov</v>
      </c>
      <c r="C125" t="s">
        <v>9</v>
      </c>
      <c r="D125" t="s">
        <v>10</v>
      </c>
      <c r="E125" t="s">
        <v>24</v>
      </c>
      <c r="F125" t="s">
        <v>18</v>
      </c>
      <c r="G125">
        <v>25.89</v>
      </c>
      <c r="H125">
        <v>3</v>
      </c>
      <c r="I125">
        <f>Table1[[#This Row],[Price]]*Table1[[#This Row],[Qty]]</f>
        <v>77.67</v>
      </c>
    </row>
    <row r="126" spans="1:9" x14ac:dyDescent="0.25">
      <c r="A126" s="1">
        <v>42328</v>
      </c>
      <c r="B126" s="1" t="str">
        <f>TEXT(Table1[[#This Row],[Date]],"mmm")</f>
        <v>Nov</v>
      </c>
      <c r="C126" t="s">
        <v>9</v>
      </c>
      <c r="D126" t="s">
        <v>13</v>
      </c>
      <c r="E126" t="s">
        <v>23</v>
      </c>
      <c r="F126" t="s">
        <v>15</v>
      </c>
      <c r="G126">
        <v>36</v>
      </c>
      <c r="H126">
        <v>25</v>
      </c>
      <c r="I126">
        <f>Table1[[#This Row],[Price]]*Table1[[#This Row],[Qty]]</f>
        <v>900</v>
      </c>
    </row>
    <row r="127" spans="1:9" x14ac:dyDescent="0.25">
      <c r="A127" s="1">
        <v>42332</v>
      </c>
      <c r="B127" s="1" t="str">
        <f>TEXT(Table1[[#This Row],[Date]],"mmm")</f>
        <v>Nov</v>
      </c>
      <c r="C127" t="s">
        <v>9</v>
      </c>
      <c r="D127" t="s">
        <v>16</v>
      </c>
      <c r="E127" t="s">
        <v>24</v>
      </c>
      <c r="F127" t="s">
        <v>18</v>
      </c>
      <c r="G127">
        <v>49.3</v>
      </c>
      <c r="H127">
        <v>3</v>
      </c>
      <c r="I127">
        <f>Table1[[#This Row],[Price]]*Table1[[#This Row],[Qty]]</f>
        <v>147.89999999999998</v>
      </c>
    </row>
    <row r="128" spans="1:9" x14ac:dyDescent="0.25">
      <c r="A128" s="1">
        <v>42335</v>
      </c>
      <c r="B128" s="1" t="str">
        <f>TEXT(Table1[[#This Row],[Date]],"mmm")</f>
        <v>Nov</v>
      </c>
      <c r="C128" t="s">
        <v>9</v>
      </c>
      <c r="D128" t="s">
        <v>17</v>
      </c>
      <c r="E128" t="s">
        <v>11</v>
      </c>
      <c r="F128" t="s">
        <v>12</v>
      </c>
      <c r="G128">
        <v>14</v>
      </c>
      <c r="H128">
        <v>12</v>
      </c>
      <c r="I128">
        <f>Table1[[#This Row],[Price]]*Table1[[#This Row],[Qty]]</f>
        <v>168</v>
      </c>
    </row>
    <row r="129" spans="1:9" x14ac:dyDescent="0.25">
      <c r="A129" s="1">
        <v>42339</v>
      </c>
      <c r="B129" s="1" t="str">
        <f>TEXT(Table1[[#This Row],[Date]],"mmm")</f>
        <v>Dec</v>
      </c>
      <c r="C129" t="s">
        <v>9</v>
      </c>
      <c r="D129" t="s">
        <v>10</v>
      </c>
      <c r="E129" t="s">
        <v>11</v>
      </c>
      <c r="F129" t="s">
        <v>15</v>
      </c>
      <c r="G129">
        <v>49.3</v>
      </c>
      <c r="H129">
        <v>15</v>
      </c>
      <c r="I129">
        <f>Table1[[#This Row],[Price]]*Table1[[#This Row],[Qty]]</f>
        <v>739.5</v>
      </c>
    </row>
    <row r="130" spans="1:9" x14ac:dyDescent="0.25">
      <c r="A130" s="1">
        <v>42341</v>
      </c>
      <c r="B130" s="1" t="str">
        <f>TEXT(Table1[[#This Row],[Date]],"mmm")</f>
        <v>Dec</v>
      </c>
      <c r="C130" t="s">
        <v>9</v>
      </c>
      <c r="D130" t="s">
        <v>13</v>
      </c>
      <c r="E130" t="s">
        <v>20</v>
      </c>
      <c r="F130" t="s">
        <v>15</v>
      </c>
      <c r="G130">
        <v>39</v>
      </c>
      <c r="H130">
        <v>33</v>
      </c>
      <c r="I130">
        <f>Table1[[#This Row],[Price]]*Table1[[#This Row],[Qty]]</f>
        <v>1287</v>
      </c>
    </row>
    <row r="131" spans="1:9" x14ac:dyDescent="0.25">
      <c r="A131" s="1">
        <v>42346</v>
      </c>
      <c r="B131" s="1" t="str">
        <f>TEXT(Table1[[#This Row],[Date]],"mmm")</f>
        <v>Dec</v>
      </c>
      <c r="C131" t="s">
        <v>9</v>
      </c>
      <c r="D131" t="s">
        <v>16</v>
      </c>
      <c r="E131" t="s">
        <v>11</v>
      </c>
      <c r="F131" t="s">
        <v>12</v>
      </c>
      <c r="G131">
        <v>12.5</v>
      </c>
      <c r="H131">
        <v>72</v>
      </c>
      <c r="I131">
        <f>Table1[[#This Row],[Price]]*Table1[[#This Row],[Qty]]</f>
        <v>900</v>
      </c>
    </row>
    <row r="132" spans="1:9" x14ac:dyDescent="0.25">
      <c r="A132" s="1">
        <v>42349</v>
      </c>
      <c r="B132" s="1" t="str">
        <f>TEXT(Table1[[#This Row],[Date]],"mmm")</f>
        <v>Dec</v>
      </c>
      <c r="C132" t="s">
        <v>9</v>
      </c>
      <c r="D132" t="s">
        <v>17</v>
      </c>
      <c r="E132" t="s">
        <v>23</v>
      </c>
      <c r="F132" t="s">
        <v>15</v>
      </c>
      <c r="G132">
        <v>12.5</v>
      </c>
      <c r="H132">
        <v>16</v>
      </c>
      <c r="I132">
        <f>Table1[[#This Row],[Price]]*Table1[[#This Row],[Qty]]</f>
        <v>200</v>
      </c>
    </row>
    <row r="133" spans="1:9" x14ac:dyDescent="0.25">
      <c r="A133" s="1">
        <v>42354</v>
      </c>
      <c r="B133" s="1" t="str">
        <f>TEXT(Table1[[#This Row],[Date]],"mmm")</f>
        <v>Dec</v>
      </c>
      <c r="C133" t="s">
        <v>9</v>
      </c>
      <c r="D133" t="s">
        <v>10</v>
      </c>
      <c r="E133" t="s">
        <v>22</v>
      </c>
      <c r="F133" t="s">
        <v>12</v>
      </c>
      <c r="G133">
        <v>1</v>
      </c>
      <c r="H133">
        <v>35</v>
      </c>
      <c r="I133">
        <f>Table1[[#This Row],[Price]]*Table1[[#This Row],[Qty]]</f>
        <v>35</v>
      </c>
    </row>
    <row r="134" spans="1:9" x14ac:dyDescent="0.25">
      <c r="A134" s="1">
        <v>42354</v>
      </c>
      <c r="B134" s="1" t="str">
        <f>TEXT(Table1[[#This Row],[Date]],"mmm")</f>
        <v>Dec</v>
      </c>
      <c r="C134" t="s">
        <v>9</v>
      </c>
      <c r="D134" t="s">
        <v>13</v>
      </c>
      <c r="E134" t="s">
        <v>11</v>
      </c>
      <c r="F134" t="s">
        <v>18</v>
      </c>
      <c r="G134">
        <v>18</v>
      </c>
      <c r="H134">
        <v>2</v>
      </c>
      <c r="I134">
        <f>Table1[[#This Row],[Price]]*Table1[[#This Row],[Qty]]</f>
        <v>36</v>
      </c>
    </row>
    <row r="135" spans="1:9" x14ac:dyDescent="0.25">
      <c r="A135" s="1">
        <v>42355</v>
      </c>
      <c r="B135" s="1" t="str">
        <f>TEXT(Table1[[#This Row],[Date]],"mmm")</f>
        <v>Dec</v>
      </c>
      <c r="C135" t="s">
        <v>9</v>
      </c>
      <c r="D135" t="s">
        <v>16</v>
      </c>
      <c r="E135" t="s">
        <v>25</v>
      </c>
      <c r="F135" t="s">
        <v>18</v>
      </c>
      <c r="G135">
        <v>263.5</v>
      </c>
      <c r="H135">
        <v>5</v>
      </c>
      <c r="I135">
        <f>Table1[[#This Row],[Price]]*Table1[[#This Row],[Qty]]</f>
        <v>1317.5</v>
      </c>
    </row>
    <row r="136" spans="1:9" x14ac:dyDescent="0.25">
      <c r="A136" s="1">
        <v>42356</v>
      </c>
      <c r="B136" s="1" t="str">
        <f>TEXT(Table1[[#This Row],[Date]],"mmm")</f>
        <v>Dec</v>
      </c>
      <c r="C136" t="s">
        <v>9</v>
      </c>
      <c r="D136" t="s">
        <v>17</v>
      </c>
      <c r="E136" t="s">
        <v>20</v>
      </c>
      <c r="F136" t="s">
        <v>12</v>
      </c>
      <c r="G136">
        <v>34.799999999999997</v>
      </c>
      <c r="H136">
        <v>3</v>
      </c>
      <c r="I136">
        <f>Table1[[#This Row],[Price]]*Table1[[#This Row],[Qty]]</f>
        <v>104.39999999999999</v>
      </c>
    </row>
    <row r="137" spans="1:9" x14ac:dyDescent="0.25">
      <c r="A137" s="1">
        <v>42360</v>
      </c>
      <c r="B137" s="1" t="str">
        <f>TEXT(Table1[[#This Row],[Date]],"mmm")</f>
        <v>Dec</v>
      </c>
      <c r="C137" t="s">
        <v>9</v>
      </c>
      <c r="D137" t="s">
        <v>10</v>
      </c>
      <c r="E137" t="s">
        <v>11</v>
      </c>
      <c r="F137" t="s">
        <v>15</v>
      </c>
      <c r="G137">
        <v>62.5</v>
      </c>
      <c r="H137">
        <v>3</v>
      </c>
      <c r="I137">
        <f>Table1[[#This Row],[Price]]*Table1[[#This Row],[Qty]]</f>
        <v>187.5</v>
      </c>
    </row>
    <row r="138" spans="1:9" x14ac:dyDescent="0.25">
      <c r="A138" s="1">
        <v>42360</v>
      </c>
      <c r="B138" s="1" t="str">
        <f>TEXT(Table1[[#This Row],[Date]],"mmm")</f>
        <v>Dec</v>
      </c>
      <c r="C138" t="s">
        <v>9</v>
      </c>
      <c r="D138" t="s">
        <v>13</v>
      </c>
      <c r="E138" t="s">
        <v>14</v>
      </c>
      <c r="F138" t="s">
        <v>15</v>
      </c>
      <c r="G138">
        <v>7.75</v>
      </c>
      <c r="H138">
        <v>4</v>
      </c>
      <c r="I138">
        <f>Table1[[#This Row],[Price]]*Table1[[#This Row],[Qty]]</f>
        <v>31</v>
      </c>
    </row>
    <row r="139" spans="1:9" x14ac:dyDescent="0.25">
      <c r="A139" s="1">
        <v>42360</v>
      </c>
      <c r="B139" s="1" t="str">
        <f>TEXT(Table1[[#This Row],[Date]],"mmm")</f>
        <v>Dec</v>
      </c>
      <c r="C139" t="s">
        <v>9</v>
      </c>
      <c r="D139" t="s">
        <v>16</v>
      </c>
      <c r="E139" t="s">
        <v>24</v>
      </c>
      <c r="F139" t="s">
        <v>18</v>
      </c>
      <c r="G139">
        <v>12.5</v>
      </c>
      <c r="H139">
        <v>15</v>
      </c>
      <c r="I139">
        <f>Table1[[#This Row],[Price]]*Table1[[#This Row],[Qty]]</f>
        <v>187.5</v>
      </c>
    </row>
    <row r="140" spans="1:9" x14ac:dyDescent="0.25">
      <c r="A140" s="1">
        <v>42361</v>
      </c>
      <c r="B140" s="1" t="str">
        <f>TEXT(Table1[[#This Row],[Date]],"mmm")</f>
        <v>Dec</v>
      </c>
      <c r="C140" t="s">
        <v>9</v>
      </c>
      <c r="D140" t="s">
        <v>17</v>
      </c>
      <c r="E140" t="s">
        <v>11</v>
      </c>
      <c r="F140" t="s">
        <v>12</v>
      </c>
      <c r="G140">
        <v>19.45</v>
      </c>
      <c r="H140">
        <v>1</v>
      </c>
      <c r="I140">
        <f>Table1[[#This Row],[Price]]*Table1[[#This Row],[Qty]]</f>
        <v>19.45</v>
      </c>
    </row>
    <row r="141" spans="1:9" x14ac:dyDescent="0.25">
      <c r="A141" s="1">
        <v>42364</v>
      </c>
      <c r="B141" s="1" t="str">
        <f>TEXT(Table1[[#This Row],[Date]],"mmm")</f>
        <v>Dec</v>
      </c>
      <c r="C141" t="s">
        <v>9</v>
      </c>
      <c r="D141" t="s">
        <v>10</v>
      </c>
      <c r="E141" t="s">
        <v>19</v>
      </c>
      <c r="F141" t="s">
        <v>18</v>
      </c>
      <c r="G141">
        <v>21</v>
      </c>
      <c r="H141">
        <v>5</v>
      </c>
      <c r="I141">
        <f>Table1[[#This Row],[Price]]*Table1[[#This Row],[Qty]]</f>
        <v>105</v>
      </c>
    </row>
    <row r="142" spans="1:9" x14ac:dyDescent="0.25">
      <c r="A142" s="1">
        <v>42364</v>
      </c>
      <c r="B142" s="1" t="str">
        <f>TEXT(Table1[[#This Row],[Date]],"mmm")</f>
        <v>Dec</v>
      </c>
      <c r="C142" t="s">
        <v>9</v>
      </c>
      <c r="D142" t="s">
        <v>13</v>
      </c>
      <c r="E142" t="s">
        <v>24</v>
      </c>
      <c r="F142" t="s">
        <v>12</v>
      </c>
      <c r="G142">
        <v>24</v>
      </c>
      <c r="H142">
        <v>6</v>
      </c>
      <c r="I142">
        <f>Table1[[#This Row],[Price]]*Table1[[#This Row],[Qty]]</f>
        <v>144</v>
      </c>
    </row>
    <row r="143" spans="1:9" x14ac:dyDescent="0.25">
      <c r="A143" s="1">
        <v>42364</v>
      </c>
      <c r="B143" s="1" t="str">
        <f>TEXT(Table1[[#This Row],[Date]],"mmm")</f>
        <v>Dec</v>
      </c>
      <c r="C143" t="s">
        <v>9</v>
      </c>
      <c r="D143" t="s">
        <v>16</v>
      </c>
      <c r="E143" t="s">
        <v>23</v>
      </c>
      <c r="F143" t="s">
        <v>12</v>
      </c>
      <c r="G143">
        <v>263.5</v>
      </c>
      <c r="H143">
        <v>1</v>
      </c>
      <c r="I143">
        <f>Table1[[#This Row],[Price]]*Table1[[#This Row],[Qty]]</f>
        <v>263.5</v>
      </c>
    </row>
    <row r="144" spans="1:9" x14ac:dyDescent="0.25">
      <c r="A144" s="1">
        <v>42368</v>
      </c>
      <c r="B144" s="1" t="str">
        <f>TEXT(Table1[[#This Row],[Date]],"mmm")</f>
        <v>Dec</v>
      </c>
      <c r="C144" t="s">
        <v>9</v>
      </c>
      <c r="D144" t="s">
        <v>17</v>
      </c>
      <c r="E144" t="s">
        <v>20</v>
      </c>
      <c r="F144" t="s">
        <v>12</v>
      </c>
      <c r="G144">
        <v>31</v>
      </c>
      <c r="H144">
        <v>36</v>
      </c>
      <c r="I144">
        <f>Table1[[#This Row],[Price]]*Table1[[#This Row],[Qty]]</f>
        <v>1116</v>
      </c>
    </row>
    <row r="145" spans="1:9" x14ac:dyDescent="0.25">
      <c r="A145" s="1">
        <v>42369</v>
      </c>
      <c r="B145" s="1" t="str">
        <f>TEXT(Table1[[#This Row],[Date]],"mmm")</f>
        <v>Dec</v>
      </c>
      <c r="C145" t="s">
        <v>9</v>
      </c>
      <c r="D145" t="s">
        <v>10</v>
      </c>
      <c r="E145" t="s">
        <v>25</v>
      </c>
      <c r="F145" t="s">
        <v>15</v>
      </c>
      <c r="G145">
        <v>16</v>
      </c>
      <c r="H145">
        <v>3</v>
      </c>
      <c r="I145">
        <f>Table1[[#This Row],[Price]]*Table1[[#This Row],[Qty]]</f>
        <v>48</v>
      </c>
    </row>
    <row r="146" spans="1:9" x14ac:dyDescent="0.25">
      <c r="A146" s="1">
        <v>42010</v>
      </c>
      <c r="B146" s="1" t="str">
        <f>TEXT(Table1[[#This Row],[Date]],"mmm")</f>
        <v>Jan</v>
      </c>
      <c r="C146" t="s">
        <v>26</v>
      </c>
      <c r="D146" t="s">
        <v>27</v>
      </c>
      <c r="E146" t="s">
        <v>22</v>
      </c>
      <c r="F146" t="s">
        <v>15</v>
      </c>
      <c r="G146">
        <v>5.9</v>
      </c>
      <c r="H146">
        <v>6</v>
      </c>
      <c r="I146">
        <f>Table1[[#This Row],[Price]]*Table1[[#This Row],[Qty]]</f>
        <v>35.400000000000006</v>
      </c>
    </row>
    <row r="147" spans="1:9" x14ac:dyDescent="0.25">
      <c r="A147" s="1">
        <v>42017</v>
      </c>
      <c r="B147" s="1" t="str">
        <f>TEXT(Table1[[#This Row],[Date]],"mmm")</f>
        <v>Jan</v>
      </c>
      <c r="C147" t="s">
        <v>26</v>
      </c>
      <c r="D147" t="s">
        <v>27</v>
      </c>
      <c r="E147" t="s">
        <v>25</v>
      </c>
      <c r="F147" t="s">
        <v>12</v>
      </c>
      <c r="G147">
        <v>39.4</v>
      </c>
      <c r="H147">
        <v>4</v>
      </c>
      <c r="I147">
        <f>Table1[[#This Row],[Price]]*Table1[[#This Row],[Qty]]</f>
        <v>157.6</v>
      </c>
    </row>
    <row r="148" spans="1:9" x14ac:dyDescent="0.25">
      <c r="A148" s="1">
        <v>42021</v>
      </c>
      <c r="B148" s="1" t="str">
        <f>TEXT(Table1[[#This Row],[Date]],"mmm")</f>
        <v>Jan</v>
      </c>
      <c r="C148" t="s">
        <v>26</v>
      </c>
      <c r="D148" t="s">
        <v>27</v>
      </c>
      <c r="E148" t="s">
        <v>11</v>
      </c>
      <c r="F148" t="s">
        <v>12</v>
      </c>
      <c r="G148">
        <v>27.2</v>
      </c>
      <c r="H148">
        <v>6</v>
      </c>
      <c r="I148">
        <f>Table1[[#This Row],[Price]]*Table1[[#This Row],[Qty]]</f>
        <v>163.19999999999999</v>
      </c>
    </row>
    <row r="149" spans="1:9" x14ac:dyDescent="0.25">
      <c r="A149" s="1">
        <v>42034</v>
      </c>
      <c r="B149" s="1" t="str">
        <f>TEXT(Table1[[#This Row],[Date]],"mmm")</f>
        <v>Jan</v>
      </c>
      <c r="C149" t="s">
        <v>26</v>
      </c>
      <c r="D149" t="s">
        <v>27</v>
      </c>
      <c r="E149" t="s">
        <v>24</v>
      </c>
      <c r="F149" t="s">
        <v>12</v>
      </c>
      <c r="G149">
        <v>3.4</v>
      </c>
      <c r="H149">
        <v>28</v>
      </c>
      <c r="I149">
        <f>Table1[[#This Row],[Price]]*Table1[[#This Row],[Qty]]</f>
        <v>95.2</v>
      </c>
    </row>
    <row r="150" spans="1:9" x14ac:dyDescent="0.25">
      <c r="A150" s="1">
        <v>42042</v>
      </c>
      <c r="B150" s="1" t="str">
        <f>TEXT(Table1[[#This Row],[Date]],"mmm")</f>
        <v>Feb</v>
      </c>
      <c r="C150" t="s">
        <v>26</v>
      </c>
      <c r="D150" t="s">
        <v>27</v>
      </c>
      <c r="E150" t="s">
        <v>11</v>
      </c>
      <c r="F150" t="s">
        <v>18</v>
      </c>
      <c r="G150">
        <v>99</v>
      </c>
      <c r="H150">
        <v>24</v>
      </c>
      <c r="I150">
        <f>Table1[[#This Row],[Price]]*Table1[[#This Row],[Qty]]</f>
        <v>2376</v>
      </c>
    </row>
    <row r="151" spans="1:9" x14ac:dyDescent="0.25">
      <c r="A151" s="1">
        <v>42052</v>
      </c>
      <c r="B151" s="1" t="str">
        <f>TEXT(Table1[[#This Row],[Date]],"mmm")</f>
        <v>Feb</v>
      </c>
      <c r="C151" t="s">
        <v>26</v>
      </c>
      <c r="D151" t="s">
        <v>27</v>
      </c>
      <c r="E151" t="s">
        <v>24</v>
      </c>
      <c r="F151" t="s">
        <v>18</v>
      </c>
      <c r="G151">
        <v>2</v>
      </c>
      <c r="H151">
        <v>2</v>
      </c>
      <c r="I151">
        <f>Table1[[#This Row],[Price]]*Table1[[#This Row],[Qty]]</f>
        <v>4</v>
      </c>
    </row>
    <row r="152" spans="1:9" x14ac:dyDescent="0.25">
      <c r="A152" s="1">
        <v>42067</v>
      </c>
      <c r="B152" s="1" t="str">
        <f>TEXT(Table1[[#This Row],[Date]],"mmm")</f>
        <v>Mar</v>
      </c>
      <c r="C152" t="s">
        <v>26</v>
      </c>
      <c r="D152" t="s">
        <v>27</v>
      </c>
      <c r="E152" t="s">
        <v>23</v>
      </c>
      <c r="F152" t="s">
        <v>18</v>
      </c>
      <c r="G152">
        <v>3.6</v>
      </c>
      <c r="H152">
        <v>25</v>
      </c>
      <c r="I152">
        <f>Table1[[#This Row],[Price]]*Table1[[#This Row],[Qty]]</f>
        <v>90</v>
      </c>
    </row>
    <row r="153" spans="1:9" x14ac:dyDescent="0.25">
      <c r="A153" s="1">
        <v>42073</v>
      </c>
      <c r="B153" s="1" t="str">
        <f>TEXT(Table1[[#This Row],[Date]],"mmm")</f>
        <v>Mar</v>
      </c>
      <c r="C153" t="s">
        <v>26</v>
      </c>
      <c r="D153" t="s">
        <v>27</v>
      </c>
      <c r="E153" t="s">
        <v>22</v>
      </c>
      <c r="F153" t="s">
        <v>15</v>
      </c>
      <c r="G153">
        <v>24</v>
      </c>
      <c r="H153">
        <v>3</v>
      </c>
      <c r="I153">
        <f>Table1[[#This Row],[Price]]*Table1[[#This Row],[Qty]]</f>
        <v>72</v>
      </c>
    </row>
    <row r="154" spans="1:9" x14ac:dyDescent="0.25">
      <c r="A154" s="1">
        <v>42077</v>
      </c>
      <c r="B154" s="1" t="str">
        <f>TEXT(Table1[[#This Row],[Date]],"mmm")</f>
        <v>Mar</v>
      </c>
      <c r="C154" t="s">
        <v>26</v>
      </c>
      <c r="D154" t="s">
        <v>27</v>
      </c>
      <c r="E154" t="s">
        <v>22</v>
      </c>
      <c r="F154" t="s">
        <v>18</v>
      </c>
      <c r="G154">
        <v>8</v>
      </c>
      <c r="H154">
        <v>21</v>
      </c>
      <c r="I154">
        <f>Table1[[#This Row],[Price]]*Table1[[#This Row],[Qty]]</f>
        <v>168</v>
      </c>
    </row>
    <row r="155" spans="1:9" x14ac:dyDescent="0.25">
      <c r="A155" s="1">
        <v>42083</v>
      </c>
      <c r="B155" s="1" t="str">
        <f>TEXT(Table1[[#This Row],[Date]],"mmm")</f>
        <v>Mar</v>
      </c>
      <c r="C155" t="s">
        <v>26</v>
      </c>
      <c r="D155" t="s">
        <v>27</v>
      </c>
      <c r="E155" t="s">
        <v>23</v>
      </c>
      <c r="F155" t="s">
        <v>12</v>
      </c>
      <c r="G155">
        <v>1.4</v>
      </c>
      <c r="H155">
        <v>3</v>
      </c>
      <c r="I155">
        <f>Table1[[#This Row],[Price]]*Table1[[#This Row],[Qty]]</f>
        <v>4.1999999999999993</v>
      </c>
    </row>
    <row r="156" spans="1:9" x14ac:dyDescent="0.25">
      <c r="A156" s="1">
        <v>42095</v>
      </c>
      <c r="B156" s="1" t="str">
        <f>TEXT(Table1[[#This Row],[Date]],"mmm")</f>
        <v>Apr</v>
      </c>
      <c r="C156" t="s">
        <v>26</v>
      </c>
      <c r="D156" t="s">
        <v>27</v>
      </c>
      <c r="E156" t="s">
        <v>14</v>
      </c>
      <c r="F156" t="s">
        <v>12</v>
      </c>
      <c r="G156">
        <v>13.6</v>
      </c>
      <c r="H156">
        <v>1</v>
      </c>
      <c r="I156">
        <f>Table1[[#This Row],[Price]]*Table1[[#This Row],[Qty]]</f>
        <v>13.6</v>
      </c>
    </row>
    <row r="157" spans="1:9" x14ac:dyDescent="0.25">
      <c r="A157" s="1">
        <v>42105</v>
      </c>
      <c r="B157" s="1" t="str">
        <f>TEXT(Table1[[#This Row],[Date]],"mmm")</f>
        <v>Apr</v>
      </c>
      <c r="C157" t="s">
        <v>26</v>
      </c>
      <c r="D157" t="s">
        <v>27</v>
      </c>
      <c r="E157" t="s">
        <v>11</v>
      </c>
      <c r="F157" t="s">
        <v>12</v>
      </c>
      <c r="G157">
        <v>18</v>
      </c>
      <c r="H157">
        <v>1</v>
      </c>
      <c r="I157">
        <f>Table1[[#This Row],[Price]]*Table1[[#This Row],[Qty]]</f>
        <v>18</v>
      </c>
    </row>
    <row r="158" spans="1:9" x14ac:dyDescent="0.25">
      <c r="A158" s="1">
        <v>42116</v>
      </c>
      <c r="B158" s="1" t="str">
        <f>TEXT(Table1[[#This Row],[Date]],"mmm")</f>
        <v>Apr</v>
      </c>
      <c r="C158" t="s">
        <v>26</v>
      </c>
      <c r="D158" t="s">
        <v>27</v>
      </c>
      <c r="E158" t="s">
        <v>22</v>
      </c>
      <c r="F158" t="s">
        <v>12</v>
      </c>
      <c r="G158">
        <v>2.5</v>
      </c>
      <c r="H158">
        <v>16</v>
      </c>
      <c r="I158">
        <f>Table1[[#This Row],[Price]]*Table1[[#This Row],[Qty]]</f>
        <v>40</v>
      </c>
    </row>
    <row r="159" spans="1:9" x14ac:dyDescent="0.25">
      <c r="A159" s="1">
        <v>42124</v>
      </c>
      <c r="B159" s="1" t="str">
        <f>TEXT(Table1[[#This Row],[Date]],"mmm")</f>
        <v>Apr</v>
      </c>
      <c r="C159" t="s">
        <v>26</v>
      </c>
      <c r="D159" t="s">
        <v>27</v>
      </c>
      <c r="E159" t="s">
        <v>24</v>
      </c>
      <c r="F159" t="s">
        <v>12</v>
      </c>
      <c r="G159">
        <v>18.399999999999999</v>
      </c>
      <c r="H159">
        <v>15</v>
      </c>
      <c r="I159">
        <f>Table1[[#This Row],[Price]]*Table1[[#This Row],[Qty]]</f>
        <v>276</v>
      </c>
    </row>
    <row r="160" spans="1:9" x14ac:dyDescent="0.25">
      <c r="A160" s="1">
        <v>42131</v>
      </c>
      <c r="B160" s="1" t="str">
        <f>TEXT(Table1[[#This Row],[Date]],"mmm")</f>
        <v>May</v>
      </c>
      <c r="C160" t="s">
        <v>26</v>
      </c>
      <c r="D160" t="s">
        <v>27</v>
      </c>
      <c r="E160" t="s">
        <v>19</v>
      </c>
      <c r="F160" t="s">
        <v>18</v>
      </c>
      <c r="G160">
        <v>39</v>
      </c>
      <c r="H160">
        <v>4</v>
      </c>
      <c r="I160">
        <f>Table1[[#This Row],[Price]]*Table1[[#This Row],[Qty]]</f>
        <v>156</v>
      </c>
    </row>
    <row r="161" spans="1:9" x14ac:dyDescent="0.25">
      <c r="A161" s="1">
        <v>42137</v>
      </c>
      <c r="B161" s="1" t="str">
        <f>TEXT(Table1[[#This Row],[Date]],"mmm")</f>
        <v>May</v>
      </c>
      <c r="C161" t="s">
        <v>26</v>
      </c>
      <c r="D161" t="s">
        <v>27</v>
      </c>
      <c r="E161" t="s">
        <v>24</v>
      </c>
      <c r="F161" t="s">
        <v>15</v>
      </c>
      <c r="G161">
        <v>1</v>
      </c>
      <c r="H161">
        <v>15</v>
      </c>
      <c r="I161">
        <f>Table1[[#This Row],[Price]]*Table1[[#This Row],[Qty]]</f>
        <v>15</v>
      </c>
    </row>
    <row r="162" spans="1:9" x14ac:dyDescent="0.25">
      <c r="A162" s="1">
        <v>42152</v>
      </c>
      <c r="B162" s="1" t="str">
        <f>TEXT(Table1[[#This Row],[Date]],"mmm")</f>
        <v>May</v>
      </c>
      <c r="C162" t="s">
        <v>26</v>
      </c>
      <c r="D162" t="s">
        <v>27</v>
      </c>
      <c r="E162" t="s">
        <v>22</v>
      </c>
      <c r="F162" t="s">
        <v>12</v>
      </c>
      <c r="G162">
        <v>36</v>
      </c>
      <c r="H162">
        <v>18</v>
      </c>
      <c r="I162">
        <f>Table1[[#This Row],[Price]]*Table1[[#This Row],[Qty]]</f>
        <v>648</v>
      </c>
    </row>
    <row r="163" spans="1:9" x14ac:dyDescent="0.25">
      <c r="A163" s="1">
        <v>42154</v>
      </c>
      <c r="B163" s="1" t="str">
        <f>TEXT(Table1[[#This Row],[Date]],"mmm")</f>
        <v>May</v>
      </c>
      <c r="C163" t="s">
        <v>26</v>
      </c>
      <c r="D163" t="s">
        <v>27</v>
      </c>
      <c r="E163" t="s">
        <v>11</v>
      </c>
      <c r="F163" t="s">
        <v>18</v>
      </c>
      <c r="G163">
        <v>15</v>
      </c>
      <c r="H163">
        <v>3</v>
      </c>
      <c r="I163">
        <f>Table1[[#This Row],[Price]]*Table1[[#This Row],[Qty]]</f>
        <v>45</v>
      </c>
    </row>
    <row r="164" spans="1:9" x14ac:dyDescent="0.25">
      <c r="A164" s="1">
        <v>42165</v>
      </c>
      <c r="B164" s="1" t="str">
        <f>TEXT(Table1[[#This Row],[Date]],"mmm")</f>
        <v>Jun</v>
      </c>
      <c r="C164" t="s">
        <v>26</v>
      </c>
      <c r="D164" t="s">
        <v>27</v>
      </c>
      <c r="E164" t="s">
        <v>19</v>
      </c>
      <c r="F164" t="s">
        <v>18</v>
      </c>
      <c r="G164">
        <v>33.25</v>
      </c>
      <c r="H164">
        <v>18</v>
      </c>
      <c r="I164">
        <f>Table1[[#This Row],[Price]]*Table1[[#This Row],[Qty]]</f>
        <v>598.5</v>
      </c>
    </row>
    <row r="165" spans="1:9" x14ac:dyDescent="0.25">
      <c r="A165" s="1">
        <v>42174</v>
      </c>
      <c r="B165" s="1" t="str">
        <f>TEXT(Table1[[#This Row],[Date]],"mmm")</f>
        <v>Jun</v>
      </c>
      <c r="C165" t="s">
        <v>26</v>
      </c>
      <c r="D165" t="s">
        <v>27</v>
      </c>
      <c r="E165" t="s">
        <v>24</v>
      </c>
      <c r="F165" t="s">
        <v>15</v>
      </c>
      <c r="G165">
        <v>55</v>
      </c>
      <c r="H165">
        <v>12</v>
      </c>
      <c r="I165">
        <f>Table1[[#This Row],[Price]]*Table1[[#This Row],[Qty]]</f>
        <v>660</v>
      </c>
    </row>
    <row r="166" spans="1:9" x14ac:dyDescent="0.25">
      <c r="A166" s="1">
        <v>42180</v>
      </c>
      <c r="B166" s="1" t="str">
        <f>TEXT(Table1[[#This Row],[Date]],"mmm")</f>
        <v>Jun</v>
      </c>
      <c r="C166" t="s">
        <v>26</v>
      </c>
      <c r="D166" t="s">
        <v>27</v>
      </c>
      <c r="E166" t="s">
        <v>20</v>
      </c>
      <c r="F166" t="s">
        <v>15</v>
      </c>
      <c r="G166">
        <v>9.5</v>
      </c>
      <c r="H166">
        <v>15</v>
      </c>
      <c r="I166">
        <f>Table1[[#This Row],[Price]]*Table1[[#This Row],[Qty]]</f>
        <v>142.5</v>
      </c>
    </row>
    <row r="167" spans="1:9" x14ac:dyDescent="0.25">
      <c r="A167" s="1">
        <v>42192</v>
      </c>
      <c r="B167" s="1" t="str">
        <f>TEXT(Table1[[#This Row],[Date]],"mmm")</f>
        <v>Jul</v>
      </c>
      <c r="C167" t="s">
        <v>26</v>
      </c>
      <c r="D167" t="s">
        <v>27</v>
      </c>
      <c r="E167" t="s">
        <v>20</v>
      </c>
      <c r="F167" t="s">
        <v>12</v>
      </c>
      <c r="G167">
        <v>18</v>
      </c>
      <c r="H167">
        <v>4</v>
      </c>
      <c r="I167">
        <f>Table1[[#This Row],[Price]]*Table1[[#This Row],[Qty]]</f>
        <v>72</v>
      </c>
    </row>
    <row r="168" spans="1:9" x14ac:dyDescent="0.25">
      <c r="A168" s="1">
        <v>42199</v>
      </c>
      <c r="B168" s="1" t="str">
        <f>TEXT(Table1[[#This Row],[Date]],"mmm")</f>
        <v>Jul</v>
      </c>
      <c r="C168" t="s">
        <v>26</v>
      </c>
      <c r="D168" t="s">
        <v>27</v>
      </c>
      <c r="E168" t="s">
        <v>23</v>
      </c>
      <c r="F168" t="s">
        <v>15</v>
      </c>
      <c r="G168">
        <v>13</v>
      </c>
      <c r="H168">
        <v>5</v>
      </c>
      <c r="I168">
        <f>Table1[[#This Row],[Price]]*Table1[[#This Row],[Qty]]</f>
        <v>65</v>
      </c>
    </row>
    <row r="169" spans="1:9" x14ac:dyDescent="0.25">
      <c r="A169" s="1">
        <v>42213</v>
      </c>
      <c r="B169" s="1" t="str">
        <f>TEXT(Table1[[#This Row],[Date]],"mmm")</f>
        <v>Jul</v>
      </c>
      <c r="C169" t="s">
        <v>26</v>
      </c>
      <c r="D169" t="s">
        <v>27</v>
      </c>
      <c r="E169" t="s">
        <v>11</v>
      </c>
      <c r="F169" t="s">
        <v>12</v>
      </c>
      <c r="G169">
        <v>9.1999999999999993</v>
      </c>
      <c r="H169">
        <v>5</v>
      </c>
      <c r="I169">
        <f>Table1[[#This Row],[Price]]*Table1[[#This Row],[Qty]]</f>
        <v>46</v>
      </c>
    </row>
    <row r="170" spans="1:9" x14ac:dyDescent="0.25">
      <c r="A170" s="1">
        <v>42223</v>
      </c>
      <c r="B170" s="1" t="str">
        <f>TEXT(Table1[[#This Row],[Date]],"mmm")</f>
        <v>Aug</v>
      </c>
      <c r="C170" t="s">
        <v>26</v>
      </c>
      <c r="D170" t="s">
        <v>27</v>
      </c>
      <c r="E170" t="s">
        <v>20</v>
      </c>
      <c r="F170" t="s">
        <v>12</v>
      </c>
      <c r="G170">
        <v>24</v>
      </c>
      <c r="H170">
        <v>12</v>
      </c>
      <c r="I170">
        <f>Table1[[#This Row],[Price]]*Table1[[#This Row],[Qty]]</f>
        <v>288</v>
      </c>
    </row>
    <row r="171" spans="1:9" x14ac:dyDescent="0.25">
      <c r="A171" s="1">
        <v>42234</v>
      </c>
      <c r="B171" s="1" t="str">
        <f>TEXT(Table1[[#This Row],[Date]],"mmm")</f>
        <v>Aug</v>
      </c>
      <c r="C171" t="s">
        <v>26</v>
      </c>
      <c r="D171" t="s">
        <v>27</v>
      </c>
      <c r="E171" t="s">
        <v>22</v>
      </c>
      <c r="F171" t="s">
        <v>15</v>
      </c>
      <c r="G171">
        <v>22</v>
      </c>
      <c r="H171">
        <v>25</v>
      </c>
      <c r="I171">
        <f>Table1[[#This Row],[Price]]*Table1[[#This Row],[Qty]]</f>
        <v>550</v>
      </c>
    </row>
    <row r="172" spans="1:9" x14ac:dyDescent="0.25">
      <c r="A172" s="1">
        <v>42237</v>
      </c>
      <c r="B172" s="1" t="str">
        <f>TEXT(Table1[[#This Row],[Date]],"mmm")</f>
        <v>Aug</v>
      </c>
      <c r="C172" t="s">
        <v>26</v>
      </c>
      <c r="D172" t="s">
        <v>27</v>
      </c>
      <c r="E172" t="s">
        <v>20</v>
      </c>
      <c r="F172" t="s">
        <v>15</v>
      </c>
      <c r="G172">
        <v>21.5</v>
      </c>
      <c r="H172">
        <v>3</v>
      </c>
      <c r="I172">
        <f>Table1[[#This Row],[Price]]*Table1[[#This Row],[Qty]]</f>
        <v>64.5</v>
      </c>
    </row>
    <row r="173" spans="1:9" x14ac:dyDescent="0.25">
      <c r="A173" s="1">
        <v>42251</v>
      </c>
      <c r="B173" s="1" t="str">
        <f>TEXT(Table1[[#This Row],[Date]],"mmm")</f>
        <v>Sep</v>
      </c>
      <c r="C173" t="s">
        <v>26</v>
      </c>
      <c r="D173" t="s">
        <v>27</v>
      </c>
      <c r="E173" t="s">
        <v>11</v>
      </c>
      <c r="F173" t="s">
        <v>18</v>
      </c>
      <c r="G173">
        <v>38</v>
      </c>
      <c r="H173">
        <v>45</v>
      </c>
      <c r="I173">
        <f>Table1[[#This Row],[Price]]*Table1[[#This Row],[Qty]]</f>
        <v>1710</v>
      </c>
    </row>
    <row r="174" spans="1:9" x14ac:dyDescent="0.25">
      <c r="A174" s="1">
        <v>42259</v>
      </c>
      <c r="B174" s="1" t="str">
        <f>TEXT(Table1[[#This Row],[Date]],"mmm")</f>
        <v>Sep</v>
      </c>
      <c r="C174" t="s">
        <v>26</v>
      </c>
      <c r="D174" t="s">
        <v>27</v>
      </c>
      <c r="E174" t="s">
        <v>22</v>
      </c>
      <c r="F174" t="s">
        <v>12</v>
      </c>
      <c r="G174">
        <v>123.79</v>
      </c>
      <c r="H174">
        <v>36</v>
      </c>
      <c r="I174">
        <f>Table1[[#This Row],[Price]]*Table1[[#This Row],[Qty]]</f>
        <v>4456.4400000000005</v>
      </c>
    </row>
    <row r="175" spans="1:9" x14ac:dyDescent="0.25">
      <c r="A175" s="1">
        <v>42263</v>
      </c>
      <c r="B175" s="1" t="str">
        <f>TEXT(Table1[[#This Row],[Date]],"mmm")</f>
        <v>Sep</v>
      </c>
      <c r="C175" t="s">
        <v>26</v>
      </c>
      <c r="D175" t="s">
        <v>27</v>
      </c>
      <c r="E175" t="s">
        <v>24</v>
      </c>
      <c r="F175" t="s">
        <v>12</v>
      </c>
      <c r="G175">
        <v>21.5</v>
      </c>
      <c r="H175">
        <v>12</v>
      </c>
      <c r="I175">
        <f>Table1[[#This Row],[Price]]*Table1[[#This Row],[Qty]]</f>
        <v>258</v>
      </c>
    </row>
    <row r="176" spans="1:9" x14ac:dyDescent="0.25">
      <c r="A176" s="1">
        <v>42270</v>
      </c>
      <c r="B176" s="1" t="str">
        <f>TEXT(Table1[[#This Row],[Date]],"mmm")</f>
        <v>Sep</v>
      </c>
      <c r="C176" t="s">
        <v>26</v>
      </c>
      <c r="D176" t="s">
        <v>27</v>
      </c>
      <c r="E176" t="s">
        <v>19</v>
      </c>
      <c r="F176" t="s">
        <v>12</v>
      </c>
      <c r="G176">
        <v>17</v>
      </c>
      <c r="H176">
        <v>4</v>
      </c>
      <c r="I176">
        <f>Table1[[#This Row],[Price]]*Table1[[#This Row],[Qty]]</f>
        <v>68</v>
      </c>
    </row>
    <row r="177" spans="1:9" x14ac:dyDescent="0.25">
      <c r="A177" s="1">
        <v>42278</v>
      </c>
      <c r="B177" s="1" t="str">
        <f>TEXT(Table1[[#This Row],[Date]],"mmm")</f>
        <v>Oct</v>
      </c>
      <c r="C177" t="s">
        <v>26</v>
      </c>
      <c r="D177" t="s">
        <v>27</v>
      </c>
      <c r="E177" t="s">
        <v>20</v>
      </c>
      <c r="F177" t="s">
        <v>18</v>
      </c>
      <c r="G177">
        <v>46</v>
      </c>
      <c r="H177">
        <v>4</v>
      </c>
      <c r="I177">
        <f>Table1[[#This Row],[Price]]*Table1[[#This Row],[Qty]]</f>
        <v>184</v>
      </c>
    </row>
    <row r="178" spans="1:9" x14ac:dyDescent="0.25">
      <c r="A178" s="1">
        <v>42286</v>
      </c>
      <c r="B178" s="1" t="str">
        <f>TEXT(Table1[[#This Row],[Date]],"mmm")</f>
        <v>Oct</v>
      </c>
      <c r="C178" t="s">
        <v>26</v>
      </c>
      <c r="D178" t="s">
        <v>27</v>
      </c>
      <c r="E178" t="s">
        <v>19</v>
      </c>
      <c r="F178" t="s">
        <v>12</v>
      </c>
      <c r="G178">
        <v>21.5</v>
      </c>
      <c r="H178">
        <v>65</v>
      </c>
      <c r="I178">
        <f>Table1[[#This Row],[Price]]*Table1[[#This Row],[Qty]]</f>
        <v>1397.5</v>
      </c>
    </row>
    <row r="179" spans="1:9" x14ac:dyDescent="0.25">
      <c r="A179" s="1">
        <v>42290</v>
      </c>
      <c r="B179" s="1" t="str">
        <f>TEXT(Table1[[#This Row],[Date]],"mmm")</f>
        <v>Oct</v>
      </c>
      <c r="C179" t="s">
        <v>26</v>
      </c>
      <c r="D179" t="s">
        <v>27</v>
      </c>
      <c r="E179" t="s">
        <v>20</v>
      </c>
      <c r="F179" t="s">
        <v>15</v>
      </c>
      <c r="G179">
        <v>12.5</v>
      </c>
      <c r="H179">
        <v>2</v>
      </c>
      <c r="I179">
        <f>Table1[[#This Row],[Price]]*Table1[[#This Row],[Qty]]</f>
        <v>25</v>
      </c>
    </row>
    <row r="180" spans="1:9" x14ac:dyDescent="0.25">
      <c r="A180" s="1">
        <v>42297</v>
      </c>
      <c r="B180" s="1" t="str">
        <f>TEXT(Table1[[#This Row],[Date]],"mmm")</f>
        <v>Oct</v>
      </c>
      <c r="C180" t="s">
        <v>26</v>
      </c>
      <c r="D180" t="s">
        <v>27</v>
      </c>
      <c r="E180" t="s">
        <v>11</v>
      </c>
      <c r="F180" t="s">
        <v>15</v>
      </c>
      <c r="G180">
        <v>19</v>
      </c>
      <c r="H180">
        <v>3</v>
      </c>
      <c r="I180">
        <f>Table1[[#This Row],[Price]]*Table1[[#This Row],[Qty]]</f>
        <v>57</v>
      </c>
    </row>
    <row r="181" spans="1:9" x14ac:dyDescent="0.25">
      <c r="A181" s="1">
        <v>42312</v>
      </c>
      <c r="B181" s="1" t="str">
        <f>TEXT(Table1[[#This Row],[Date]],"mmm")</f>
        <v>Nov</v>
      </c>
      <c r="C181" t="s">
        <v>26</v>
      </c>
      <c r="D181" t="s">
        <v>27</v>
      </c>
      <c r="E181" t="s">
        <v>23</v>
      </c>
      <c r="F181" t="s">
        <v>12</v>
      </c>
      <c r="G181">
        <v>53</v>
      </c>
      <c r="H181">
        <v>3</v>
      </c>
      <c r="I181">
        <f>Table1[[#This Row],[Price]]*Table1[[#This Row],[Qty]]</f>
        <v>159</v>
      </c>
    </row>
    <row r="182" spans="1:9" x14ac:dyDescent="0.25">
      <c r="A182" s="1">
        <v>42318</v>
      </c>
      <c r="B182" s="1" t="str">
        <f>TEXT(Table1[[#This Row],[Date]],"mmm")</f>
        <v>Nov</v>
      </c>
      <c r="C182" t="s">
        <v>26</v>
      </c>
      <c r="D182" t="s">
        <v>27</v>
      </c>
      <c r="E182" t="s">
        <v>22</v>
      </c>
      <c r="F182" t="s">
        <v>18</v>
      </c>
      <c r="G182">
        <v>19</v>
      </c>
      <c r="H182">
        <v>6</v>
      </c>
      <c r="I182">
        <f>Table1[[#This Row],[Price]]*Table1[[#This Row],[Qty]]</f>
        <v>114</v>
      </c>
    </row>
    <row r="183" spans="1:9" x14ac:dyDescent="0.25">
      <c r="A183" s="1">
        <v>42327</v>
      </c>
      <c r="B183" s="1" t="str">
        <f>TEXT(Table1[[#This Row],[Date]],"mmm")</f>
        <v>Nov</v>
      </c>
      <c r="C183" t="s">
        <v>26</v>
      </c>
      <c r="D183" t="s">
        <v>27</v>
      </c>
      <c r="E183" t="s">
        <v>22</v>
      </c>
      <c r="F183" t="s">
        <v>18</v>
      </c>
      <c r="G183">
        <v>38</v>
      </c>
      <c r="H183">
        <v>43</v>
      </c>
      <c r="I183">
        <f>Table1[[#This Row],[Price]]*Table1[[#This Row],[Qty]]</f>
        <v>1634</v>
      </c>
    </row>
    <row r="184" spans="1:9" x14ac:dyDescent="0.25">
      <c r="A184" s="1">
        <v>42332</v>
      </c>
      <c r="B184" s="1" t="str">
        <f>TEXT(Table1[[#This Row],[Date]],"mmm")</f>
        <v>Nov</v>
      </c>
      <c r="C184" t="s">
        <v>26</v>
      </c>
      <c r="D184" t="s">
        <v>27</v>
      </c>
      <c r="E184" t="s">
        <v>20</v>
      </c>
      <c r="F184" t="s">
        <v>18</v>
      </c>
      <c r="G184">
        <v>55</v>
      </c>
      <c r="H184">
        <v>7</v>
      </c>
      <c r="I184">
        <f>Table1[[#This Row],[Price]]*Table1[[#This Row],[Qty]]</f>
        <v>385</v>
      </c>
    </row>
    <row r="185" spans="1:9" x14ac:dyDescent="0.25">
      <c r="A185" s="1">
        <v>42336</v>
      </c>
      <c r="B185" s="1" t="str">
        <f>TEXT(Table1[[#This Row],[Date]],"mmm")</f>
        <v>Nov</v>
      </c>
      <c r="C185" t="s">
        <v>26</v>
      </c>
      <c r="D185" t="s">
        <v>27</v>
      </c>
      <c r="E185" t="s">
        <v>14</v>
      </c>
      <c r="F185" t="s">
        <v>18</v>
      </c>
      <c r="G185">
        <v>7.75</v>
      </c>
      <c r="H185">
        <v>18</v>
      </c>
      <c r="I185">
        <f>Table1[[#This Row],[Price]]*Table1[[#This Row],[Qty]]</f>
        <v>139.5</v>
      </c>
    </row>
    <row r="186" spans="1:9" x14ac:dyDescent="0.25">
      <c r="A186" s="1">
        <v>42342</v>
      </c>
      <c r="B186" s="1" t="str">
        <f>TEXT(Table1[[#This Row],[Date]],"mmm")</f>
        <v>Dec</v>
      </c>
      <c r="C186" t="s">
        <v>26</v>
      </c>
      <c r="D186" t="s">
        <v>27</v>
      </c>
      <c r="E186" t="s">
        <v>22</v>
      </c>
      <c r="F186" t="s">
        <v>18</v>
      </c>
      <c r="G186">
        <v>19</v>
      </c>
      <c r="H186">
        <v>4</v>
      </c>
      <c r="I186">
        <f>Table1[[#This Row],[Price]]*Table1[[#This Row],[Qty]]</f>
        <v>76</v>
      </c>
    </row>
    <row r="187" spans="1:9" x14ac:dyDescent="0.25">
      <c r="A187" s="1">
        <v>42353</v>
      </c>
      <c r="B187" s="1" t="str">
        <f>TEXT(Table1[[#This Row],[Date]],"mmm")</f>
        <v>Dec</v>
      </c>
      <c r="C187" t="s">
        <v>26</v>
      </c>
      <c r="D187" t="s">
        <v>27</v>
      </c>
      <c r="E187" t="s">
        <v>25</v>
      </c>
      <c r="F187" t="s">
        <v>18</v>
      </c>
      <c r="G187">
        <v>38</v>
      </c>
      <c r="H187">
        <v>2</v>
      </c>
      <c r="I187">
        <f>Table1[[#This Row],[Price]]*Table1[[#This Row],[Qty]]</f>
        <v>76</v>
      </c>
    </row>
    <row r="188" spans="1:9" x14ac:dyDescent="0.25">
      <c r="A188" s="1">
        <v>42360</v>
      </c>
      <c r="B188" s="1" t="str">
        <f>TEXT(Table1[[#This Row],[Date]],"mmm")</f>
        <v>Dec</v>
      </c>
      <c r="C188" t="s">
        <v>26</v>
      </c>
      <c r="D188" t="s">
        <v>27</v>
      </c>
      <c r="E188" t="s">
        <v>25</v>
      </c>
      <c r="F188" t="s">
        <v>18</v>
      </c>
      <c r="G188">
        <v>21</v>
      </c>
      <c r="H188">
        <v>2</v>
      </c>
      <c r="I188">
        <f>Table1[[#This Row],[Price]]*Table1[[#This Row],[Qty]]</f>
        <v>42</v>
      </c>
    </row>
    <row r="189" spans="1:9" x14ac:dyDescent="0.25">
      <c r="A189" s="1">
        <v>42364</v>
      </c>
      <c r="B189" s="1" t="str">
        <f>TEXT(Table1[[#This Row],[Date]],"mmm")</f>
        <v>Dec</v>
      </c>
      <c r="C189" t="s">
        <v>26</v>
      </c>
      <c r="D189" t="s">
        <v>27</v>
      </c>
      <c r="E189" t="s">
        <v>23</v>
      </c>
      <c r="F189" t="s">
        <v>15</v>
      </c>
      <c r="G189">
        <v>21.5</v>
      </c>
      <c r="H189">
        <v>2</v>
      </c>
      <c r="I189">
        <f>Table1[[#This Row],[Price]]*Table1[[#This Row],[Qty]]</f>
        <v>43</v>
      </c>
    </row>
    <row r="190" spans="1:9" x14ac:dyDescent="0.25">
      <c r="A190" s="1">
        <v>42013</v>
      </c>
      <c r="B190" s="1" t="str">
        <f>TEXT(Table1[[#This Row],[Date]],"mmm")</f>
        <v>Jan</v>
      </c>
      <c r="C190" t="s">
        <v>28</v>
      </c>
      <c r="D190" t="s">
        <v>29</v>
      </c>
      <c r="E190" t="s">
        <v>25</v>
      </c>
      <c r="F190" t="s">
        <v>18</v>
      </c>
      <c r="G190">
        <v>14.4</v>
      </c>
      <c r="H190">
        <v>14</v>
      </c>
      <c r="I190">
        <f>Table1[[#This Row],[Price]]*Table1[[#This Row],[Qty]]</f>
        <v>201.6</v>
      </c>
    </row>
    <row r="191" spans="1:9" x14ac:dyDescent="0.25">
      <c r="A191" s="1">
        <v>42025</v>
      </c>
      <c r="B191" s="1" t="str">
        <f>TEXT(Table1[[#This Row],[Date]],"mmm")</f>
        <v>Jan</v>
      </c>
      <c r="C191" t="s">
        <v>28</v>
      </c>
      <c r="D191" t="s">
        <v>29</v>
      </c>
      <c r="E191" t="s">
        <v>24</v>
      </c>
      <c r="F191" t="s">
        <v>18</v>
      </c>
      <c r="G191">
        <v>26.2</v>
      </c>
      <c r="H191">
        <v>15</v>
      </c>
      <c r="I191">
        <f>Table1[[#This Row],[Price]]*Table1[[#This Row],[Qty]]</f>
        <v>393</v>
      </c>
    </row>
    <row r="192" spans="1:9" x14ac:dyDescent="0.25">
      <c r="A192" s="1">
        <v>42032</v>
      </c>
      <c r="B192" s="1" t="str">
        <f>TEXT(Table1[[#This Row],[Date]],"mmm")</f>
        <v>Jan</v>
      </c>
      <c r="C192" t="s">
        <v>28</v>
      </c>
      <c r="D192" t="s">
        <v>29</v>
      </c>
      <c r="E192" t="s">
        <v>24</v>
      </c>
      <c r="F192" t="s">
        <v>18</v>
      </c>
      <c r="G192">
        <v>7.6</v>
      </c>
      <c r="H192">
        <v>3</v>
      </c>
      <c r="I192">
        <f>Table1[[#This Row],[Price]]*Table1[[#This Row],[Qty]]</f>
        <v>22.799999999999997</v>
      </c>
    </row>
    <row r="193" spans="1:9" x14ac:dyDescent="0.25">
      <c r="A193" s="1">
        <v>42039</v>
      </c>
      <c r="B193" s="1" t="str">
        <f>TEXT(Table1[[#This Row],[Date]],"mmm")</f>
        <v>Feb</v>
      </c>
      <c r="C193" t="s">
        <v>28</v>
      </c>
      <c r="D193" t="s">
        <v>29</v>
      </c>
      <c r="E193" t="s">
        <v>23</v>
      </c>
      <c r="F193" t="s">
        <v>18</v>
      </c>
      <c r="G193">
        <v>35.1</v>
      </c>
      <c r="H193">
        <v>5</v>
      </c>
      <c r="I193">
        <f>Table1[[#This Row],[Price]]*Table1[[#This Row],[Qty]]</f>
        <v>175.5</v>
      </c>
    </row>
    <row r="194" spans="1:9" x14ac:dyDescent="0.25">
      <c r="A194" s="1">
        <v>42052</v>
      </c>
      <c r="B194" s="1" t="str">
        <f>TEXT(Table1[[#This Row],[Date]],"mmm")</f>
        <v>Feb</v>
      </c>
      <c r="C194" t="s">
        <v>28</v>
      </c>
      <c r="D194" t="s">
        <v>29</v>
      </c>
      <c r="E194" t="s">
        <v>11</v>
      </c>
      <c r="F194" t="s">
        <v>18</v>
      </c>
      <c r="G194">
        <v>16.8</v>
      </c>
      <c r="H194">
        <v>28</v>
      </c>
      <c r="I194">
        <f>Table1[[#This Row],[Price]]*Table1[[#This Row],[Qty]]</f>
        <v>470.40000000000003</v>
      </c>
    </row>
    <row r="195" spans="1:9" x14ac:dyDescent="0.25">
      <c r="A195" s="1">
        <v>42061</v>
      </c>
      <c r="B195" s="1" t="str">
        <f>TEXT(Table1[[#This Row],[Date]],"mmm")</f>
        <v>Feb</v>
      </c>
      <c r="C195" t="s">
        <v>28</v>
      </c>
      <c r="D195" t="s">
        <v>29</v>
      </c>
      <c r="E195" t="s">
        <v>25</v>
      </c>
      <c r="F195" t="s">
        <v>18</v>
      </c>
      <c r="G195">
        <v>27.8</v>
      </c>
      <c r="H195">
        <v>4</v>
      </c>
      <c r="I195">
        <f>Table1[[#This Row],[Price]]*Table1[[#This Row],[Qty]]</f>
        <v>111.2</v>
      </c>
    </row>
    <row r="196" spans="1:9" x14ac:dyDescent="0.25">
      <c r="A196" s="1">
        <v>42068</v>
      </c>
      <c r="B196" s="1" t="str">
        <f>TEXT(Table1[[#This Row],[Date]],"mmm")</f>
        <v>Mar</v>
      </c>
      <c r="C196" t="s">
        <v>28</v>
      </c>
      <c r="D196" t="s">
        <v>29</v>
      </c>
      <c r="E196" t="s">
        <v>11</v>
      </c>
      <c r="F196" t="s">
        <v>12</v>
      </c>
      <c r="G196">
        <v>2.7</v>
      </c>
      <c r="H196">
        <v>8</v>
      </c>
      <c r="I196">
        <f>Table1[[#This Row],[Price]]*Table1[[#This Row],[Qty]]</f>
        <v>21.6</v>
      </c>
    </row>
    <row r="197" spans="1:9" x14ac:dyDescent="0.25">
      <c r="A197" s="1">
        <v>42077</v>
      </c>
      <c r="B197" s="1" t="str">
        <f>TEXT(Table1[[#This Row],[Date]],"mmm")</f>
        <v>Mar</v>
      </c>
      <c r="C197" t="s">
        <v>28</v>
      </c>
      <c r="D197" t="s">
        <v>29</v>
      </c>
      <c r="E197" t="s">
        <v>23</v>
      </c>
      <c r="F197" t="s">
        <v>18</v>
      </c>
      <c r="G197">
        <v>19.2</v>
      </c>
      <c r="H197">
        <v>2</v>
      </c>
      <c r="I197">
        <f>Table1[[#This Row],[Price]]*Table1[[#This Row],[Qty]]</f>
        <v>38.4</v>
      </c>
    </row>
    <row r="198" spans="1:9" x14ac:dyDescent="0.25">
      <c r="A198" s="1">
        <v>42088</v>
      </c>
      <c r="B198" s="1" t="str">
        <f>TEXT(Table1[[#This Row],[Date]],"mmm")</f>
        <v>Mar</v>
      </c>
      <c r="C198" t="s">
        <v>28</v>
      </c>
      <c r="D198" t="s">
        <v>29</v>
      </c>
      <c r="E198" t="s">
        <v>20</v>
      </c>
      <c r="F198" t="s">
        <v>12</v>
      </c>
      <c r="G198">
        <v>5.9</v>
      </c>
      <c r="H198">
        <v>24</v>
      </c>
      <c r="I198">
        <f>Table1[[#This Row],[Price]]*Table1[[#This Row],[Qty]]</f>
        <v>141.60000000000002</v>
      </c>
    </row>
    <row r="199" spans="1:9" x14ac:dyDescent="0.25">
      <c r="A199" s="1">
        <v>42096</v>
      </c>
      <c r="B199" s="1" t="str">
        <f>TEXT(Table1[[#This Row],[Date]],"mmm")</f>
        <v>Apr</v>
      </c>
      <c r="C199" t="s">
        <v>28</v>
      </c>
      <c r="D199" t="s">
        <v>29</v>
      </c>
      <c r="E199" t="s">
        <v>14</v>
      </c>
      <c r="F199" t="s">
        <v>12</v>
      </c>
      <c r="G199">
        <v>3.4</v>
      </c>
      <c r="H199">
        <v>14</v>
      </c>
      <c r="I199">
        <f>Table1[[#This Row],[Price]]*Table1[[#This Row],[Qty]]</f>
        <v>47.6</v>
      </c>
    </row>
    <row r="200" spans="1:9" x14ac:dyDescent="0.25">
      <c r="A200" s="1">
        <v>42105</v>
      </c>
      <c r="B200" s="1" t="str">
        <f>TEXT(Table1[[#This Row],[Date]],"mmm")</f>
        <v>Apr</v>
      </c>
      <c r="C200" t="s">
        <v>28</v>
      </c>
      <c r="D200" t="s">
        <v>29</v>
      </c>
      <c r="E200" t="s">
        <v>22</v>
      </c>
      <c r="F200" t="s">
        <v>15</v>
      </c>
      <c r="G200">
        <v>6</v>
      </c>
      <c r="H200">
        <v>1</v>
      </c>
      <c r="I200">
        <f>Table1[[#This Row],[Price]]*Table1[[#This Row],[Qty]]</f>
        <v>6</v>
      </c>
    </row>
    <row r="201" spans="1:9" x14ac:dyDescent="0.25">
      <c r="A201" s="1">
        <v>42115</v>
      </c>
      <c r="B201" s="1" t="str">
        <f>TEXT(Table1[[#This Row],[Date]],"mmm")</f>
        <v>Apr</v>
      </c>
      <c r="C201" t="s">
        <v>28</v>
      </c>
      <c r="D201" t="s">
        <v>29</v>
      </c>
      <c r="E201" t="s">
        <v>23</v>
      </c>
      <c r="F201" t="s">
        <v>15</v>
      </c>
      <c r="G201">
        <v>1</v>
      </c>
      <c r="H201">
        <v>4</v>
      </c>
      <c r="I201">
        <f>Table1[[#This Row],[Price]]*Table1[[#This Row],[Qty]]</f>
        <v>4</v>
      </c>
    </row>
    <row r="202" spans="1:9" x14ac:dyDescent="0.25">
      <c r="A202" s="1">
        <v>42117</v>
      </c>
      <c r="B202" s="1" t="str">
        <f>TEXT(Table1[[#This Row],[Date]],"mmm")</f>
        <v>Apr</v>
      </c>
      <c r="C202" t="s">
        <v>28</v>
      </c>
      <c r="D202" t="s">
        <v>29</v>
      </c>
      <c r="E202" t="s">
        <v>11</v>
      </c>
      <c r="F202" t="s">
        <v>18</v>
      </c>
      <c r="G202">
        <v>9.65</v>
      </c>
      <c r="H202">
        <v>8</v>
      </c>
      <c r="I202">
        <f>Table1[[#This Row],[Price]]*Table1[[#This Row],[Qty]]</f>
        <v>77.2</v>
      </c>
    </row>
    <row r="203" spans="1:9" x14ac:dyDescent="0.25">
      <c r="A203" s="1">
        <v>42125</v>
      </c>
      <c r="B203" s="1" t="str">
        <f>TEXT(Table1[[#This Row],[Date]],"mmm")</f>
        <v>May</v>
      </c>
      <c r="C203" t="s">
        <v>28</v>
      </c>
      <c r="D203" t="s">
        <v>29</v>
      </c>
      <c r="E203" t="s">
        <v>20</v>
      </c>
      <c r="F203" t="s">
        <v>18</v>
      </c>
      <c r="G203">
        <v>38</v>
      </c>
      <c r="H203">
        <v>3</v>
      </c>
      <c r="I203">
        <f>Table1[[#This Row],[Price]]*Table1[[#This Row],[Qty]]</f>
        <v>114</v>
      </c>
    </row>
    <row r="204" spans="1:9" x14ac:dyDescent="0.25">
      <c r="A204" s="1">
        <v>42136</v>
      </c>
      <c r="B204" s="1" t="str">
        <f>TEXT(Table1[[#This Row],[Date]],"mmm")</f>
        <v>May</v>
      </c>
      <c r="C204" t="s">
        <v>28</v>
      </c>
      <c r="D204" t="s">
        <v>29</v>
      </c>
      <c r="E204" t="s">
        <v>24</v>
      </c>
      <c r="F204" t="s">
        <v>15</v>
      </c>
      <c r="G204">
        <v>53</v>
      </c>
      <c r="H204">
        <v>6</v>
      </c>
      <c r="I204">
        <f>Table1[[#This Row],[Price]]*Table1[[#This Row],[Qty]]</f>
        <v>318</v>
      </c>
    </row>
    <row r="205" spans="1:9" x14ac:dyDescent="0.25">
      <c r="A205" s="1">
        <v>42143</v>
      </c>
      <c r="B205" s="1" t="str">
        <f>TEXT(Table1[[#This Row],[Date]],"mmm")</f>
        <v>May</v>
      </c>
      <c r="C205" t="s">
        <v>28</v>
      </c>
      <c r="D205" t="s">
        <v>29</v>
      </c>
      <c r="E205" t="s">
        <v>11</v>
      </c>
      <c r="F205" t="s">
        <v>12</v>
      </c>
      <c r="G205">
        <v>21</v>
      </c>
      <c r="H205">
        <v>1</v>
      </c>
      <c r="I205">
        <f>Table1[[#This Row],[Price]]*Table1[[#This Row],[Qty]]</f>
        <v>21</v>
      </c>
    </row>
    <row r="206" spans="1:9" x14ac:dyDescent="0.25">
      <c r="A206" s="1">
        <v>42152</v>
      </c>
      <c r="B206" s="1" t="str">
        <f>TEXT(Table1[[#This Row],[Date]],"mmm")</f>
        <v>May</v>
      </c>
      <c r="C206" t="s">
        <v>28</v>
      </c>
      <c r="D206" t="s">
        <v>29</v>
      </c>
      <c r="E206" t="s">
        <v>11</v>
      </c>
      <c r="F206" t="s">
        <v>12</v>
      </c>
      <c r="G206">
        <v>4.5</v>
      </c>
      <c r="H206">
        <v>18</v>
      </c>
      <c r="I206">
        <f>Table1[[#This Row],[Price]]*Table1[[#This Row],[Qty]]</f>
        <v>81</v>
      </c>
    </row>
    <row r="207" spans="1:9" x14ac:dyDescent="0.25">
      <c r="A207" s="1">
        <v>42161</v>
      </c>
      <c r="B207" s="1" t="str">
        <f>TEXT(Table1[[#This Row],[Date]],"mmm")</f>
        <v>Jun</v>
      </c>
      <c r="C207" t="s">
        <v>28</v>
      </c>
      <c r="D207" t="s">
        <v>29</v>
      </c>
      <c r="E207" t="s">
        <v>24</v>
      </c>
      <c r="F207" t="s">
        <v>18</v>
      </c>
      <c r="G207">
        <v>19</v>
      </c>
      <c r="H207">
        <v>25</v>
      </c>
      <c r="I207">
        <f>Table1[[#This Row],[Price]]*Table1[[#This Row],[Qty]]</f>
        <v>475</v>
      </c>
    </row>
    <row r="208" spans="1:9" x14ac:dyDescent="0.25">
      <c r="A208" s="1">
        <v>42168</v>
      </c>
      <c r="B208" s="1" t="str">
        <f>TEXT(Table1[[#This Row],[Date]],"mmm")</f>
        <v>Jun</v>
      </c>
      <c r="C208" t="s">
        <v>28</v>
      </c>
      <c r="D208" t="s">
        <v>29</v>
      </c>
      <c r="E208" t="s">
        <v>24</v>
      </c>
      <c r="F208" t="s">
        <v>15</v>
      </c>
      <c r="G208">
        <v>14</v>
      </c>
      <c r="H208">
        <v>28</v>
      </c>
      <c r="I208">
        <f>Table1[[#This Row],[Price]]*Table1[[#This Row],[Qty]]</f>
        <v>392</v>
      </c>
    </row>
    <row r="209" spans="1:9" x14ac:dyDescent="0.25">
      <c r="A209" s="1">
        <v>42181</v>
      </c>
      <c r="B209" s="1" t="str">
        <f>TEXT(Table1[[#This Row],[Date]],"mmm")</f>
        <v>Jun</v>
      </c>
      <c r="C209" t="s">
        <v>28</v>
      </c>
      <c r="D209" t="s">
        <v>29</v>
      </c>
      <c r="E209" t="s">
        <v>22</v>
      </c>
      <c r="F209" t="s">
        <v>18</v>
      </c>
      <c r="G209">
        <v>19.5</v>
      </c>
      <c r="H209">
        <v>4</v>
      </c>
      <c r="I209">
        <f>Table1[[#This Row],[Price]]*Table1[[#This Row],[Qty]]</f>
        <v>78</v>
      </c>
    </row>
    <row r="210" spans="1:9" x14ac:dyDescent="0.25">
      <c r="A210" s="1">
        <v>42194</v>
      </c>
      <c r="B210" s="1" t="str">
        <f>TEXT(Table1[[#This Row],[Date]],"mmm")</f>
        <v>Jul</v>
      </c>
      <c r="C210" t="s">
        <v>28</v>
      </c>
      <c r="D210" t="s">
        <v>29</v>
      </c>
      <c r="E210" t="s">
        <v>11</v>
      </c>
      <c r="F210" t="s">
        <v>18</v>
      </c>
      <c r="G210">
        <v>4.5</v>
      </c>
      <c r="H210">
        <v>35</v>
      </c>
      <c r="I210">
        <f>Table1[[#This Row],[Price]]*Table1[[#This Row],[Qty]]</f>
        <v>157.5</v>
      </c>
    </row>
    <row r="211" spans="1:9" x14ac:dyDescent="0.25">
      <c r="A211" s="1">
        <v>42206</v>
      </c>
      <c r="B211" s="1" t="str">
        <f>TEXT(Table1[[#This Row],[Date]],"mmm")</f>
        <v>Jul</v>
      </c>
      <c r="C211" t="s">
        <v>28</v>
      </c>
      <c r="D211" t="s">
        <v>29</v>
      </c>
      <c r="E211" t="s">
        <v>23</v>
      </c>
      <c r="F211" t="s">
        <v>15</v>
      </c>
      <c r="G211">
        <v>49.3</v>
      </c>
      <c r="H211">
        <v>1</v>
      </c>
      <c r="I211">
        <f>Table1[[#This Row],[Price]]*Table1[[#This Row],[Qty]]</f>
        <v>49.3</v>
      </c>
    </row>
    <row r="212" spans="1:9" x14ac:dyDescent="0.25">
      <c r="A212" s="1">
        <v>42213</v>
      </c>
      <c r="B212" s="1" t="str">
        <f>TEXT(Table1[[#This Row],[Date]],"mmm")</f>
        <v>Jul</v>
      </c>
      <c r="C212" t="s">
        <v>28</v>
      </c>
      <c r="D212" t="s">
        <v>29</v>
      </c>
      <c r="E212" t="s">
        <v>23</v>
      </c>
      <c r="F212" t="s">
        <v>18</v>
      </c>
      <c r="G212">
        <v>1</v>
      </c>
      <c r="H212">
        <v>8</v>
      </c>
      <c r="I212">
        <f>Table1[[#This Row],[Price]]*Table1[[#This Row],[Qty]]</f>
        <v>8</v>
      </c>
    </row>
    <row r="213" spans="1:9" x14ac:dyDescent="0.25">
      <c r="A213" s="1">
        <v>42223</v>
      </c>
      <c r="B213" s="1" t="str">
        <f>TEXT(Table1[[#This Row],[Date]],"mmm")</f>
        <v>Aug</v>
      </c>
      <c r="C213" t="s">
        <v>28</v>
      </c>
      <c r="D213" t="s">
        <v>29</v>
      </c>
      <c r="E213" t="s">
        <v>19</v>
      </c>
      <c r="F213" t="s">
        <v>18</v>
      </c>
      <c r="G213">
        <v>49.3</v>
      </c>
      <c r="H213">
        <v>15</v>
      </c>
      <c r="I213">
        <f>Table1[[#This Row],[Price]]*Table1[[#This Row],[Qty]]</f>
        <v>739.5</v>
      </c>
    </row>
    <row r="214" spans="1:9" x14ac:dyDescent="0.25">
      <c r="A214" s="1">
        <v>42231</v>
      </c>
      <c r="B214" s="1" t="str">
        <f>TEXT(Table1[[#This Row],[Date]],"mmm")</f>
        <v>Aug</v>
      </c>
      <c r="C214" t="s">
        <v>28</v>
      </c>
      <c r="D214" t="s">
        <v>29</v>
      </c>
      <c r="E214" t="s">
        <v>20</v>
      </c>
      <c r="F214" t="s">
        <v>12</v>
      </c>
      <c r="G214">
        <v>62.5</v>
      </c>
      <c r="H214">
        <v>5</v>
      </c>
      <c r="I214">
        <f>Table1[[#This Row],[Price]]*Table1[[#This Row],[Qty]]</f>
        <v>312.5</v>
      </c>
    </row>
    <row r="215" spans="1:9" x14ac:dyDescent="0.25">
      <c r="A215" s="1">
        <v>42236</v>
      </c>
      <c r="B215" s="1" t="str">
        <f>TEXT(Table1[[#This Row],[Date]],"mmm")</f>
        <v>Aug</v>
      </c>
      <c r="C215" t="s">
        <v>28</v>
      </c>
      <c r="D215" t="s">
        <v>29</v>
      </c>
      <c r="E215" t="s">
        <v>23</v>
      </c>
      <c r="F215" t="s">
        <v>12</v>
      </c>
      <c r="G215">
        <v>18</v>
      </c>
      <c r="H215">
        <v>21</v>
      </c>
      <c r="I215">
        <f>Table1[[#This Row],[Price]]*Table1[[#This Row],[Qty]]</f>
        <v>378</v>
      </c>
    </row>
    <row r="216" spans="1:9" x14ac:dyDescent="0.25">
      <c r="A216" s="1">
        <v>42245</v>
      </c>
      <c r="B216" s="1" t="str">
        <f>TEXT(Table1[[#This Row],[Date]],"mmm")</f>
        <v>Aug</v>
      </c>
      <c r="C216" t="s">
        <v>28</v>
      </c>
      <c r="D216" t="s">
        <v>29</v>
      </c>
      <c r="E216" t="s">
        <v>19</v>
      </c>
      <c r="F216" t="s">
        <v>18</v>
      </c>
      <c r="G216">
        <v>14</v>
      </c>
      <c r="H216">
        <v>2</v>
      </c>
      <c r="I216">
        <f>Table1[[#This Row],[Price]]*Table1[[#This Row],[Qty]]</f>
        <v>28</v>
      </c>
    </row>
    <row r="217" spans="1:9" x14ac:dyDescent="0.25">
      <c r="A217" s="1">
        <v>42252</v>
      </c>
      <c r="B217" s="1" t="str">
        <f>TEXT(Table1[[#This Row],[Date]],"mmm")</f>
        <v>Sep</v>
      </c>
      <c r="C217" t="s">
        <v>28</v>
      </c>
      <c r="D217" t="s">
        <v>29</v>
      </c>
      <c r="E217" t="s">
        <v>23</v>
      </c>
      <c r="F217" t="s">
        <v>15</v>
      </c>
      <c r="G217">
        <v>14</v>
      </c>
      <c r="H217">
        <v>3</v>
      </c>
      <c r="I217">
        <f>Table1[[#This Row],[Price]]*Table1[[#This Row],[Qty]]</f>
        <v>42</v>
      </c>
    </row>
    <row r="218" spans="1:9" x14ac:dyDescent="0.25">
      <c r="A218" s="1">
        <v>42264</v>
      </c>
      <c r="B218" s="1" t="str">
        <f>TEXT(Table1[[#This Row],[Date]],"mmm")</f>
        <v>Sep</v>
      </c>
      <c r="C218" t="s">
        <v>28</v>
      </c>
      <c r="D218" t="s">
        <v>29</v>
      </c>
      <c r="E218" t="s">
        <v>20</v>
      </c>
      <c r="F218" t="s">
        <v>18</v>
      </c>
      <c r="G218">
        <v>13.25</v>
      </c>
      <c r="H218">
        <v>3</v>
      </c>
      <c r="I218">
        <f>Table1[[#This Row],[Price]]*Table1[[#This Row],[Qty]]</f>
        <v>39.75</v>
      </c>
    </row>
    <row r="219" spans="1:9" x14ac:dyDescent="0.25">
      <c r="A219" s="1">
        <v>42276</v>
      </c>
      <c r="B219" s="1" t="str">
        <f>TEXT(Table1[[#This Row],[Date]],"mmm")</f>
        <v>Sep</v>
      </c>
      <c r="C219" t="s">
        <v>28</v>
      </c>
      <c r="D219" t="s">
        <v>29</v>
      </c>
      <c r="E219" t="s">
        <v>24</v>
      </c>
      <c r="F219" t="s">
        <v>15</v>
      </c>
      <c r="G219">
        <v>14</v>
      </c>
      <c r="H219">
        <v>14</v>
      </c>
      <c r="I219">
        <f>Table1[[#This Row],[Price]]*Table1[[#This Row],[Qty]]</f>
        <v>196</v>
      </c>
    </row>
    <row r="220" spans="1:9" x14ac:dyDescent="0.25">
      <c r="A220" s="1">
        <v>42284</v>
      </c>
      <c r="B220" s="1" t="str">
        <f>TEXT(Table1[[#This Row],[Date]],"mmm")</f>
        <v>Oct</v>
      </c>
      <c r="C220" t="s">
        <v>28</v>
      </c>
      <c r="D220" t="s">
        <v>29</v>
      </c>
      <c r="E220" t="s">
        <v>22</v>
      </c>
      <c r="F220" t="s">
        <v>12</v>
      </c>
      <c r="G220">
        <v>9.1999999999999993</v>
      </c>
      <c r="H220">
        <v>7</v>
      </c>
      <c r="I220">
        <f>Table1[[#This Row],[Price]]*Table1[[#This Row],[Qty]]</f>
        <v>64.399999999999991</v>
      </c>
    </row>
    <row r="221" spans="1:9" x14ac:dyDescent="0.25">
      <c r="A221" s="1">
        <v>42291</v>
      </c>
      <c r="B221" s="1" t="str">
        <f>TEXT(Table1[[#This Row],[Date]],"mmm")</f>
        <v>Oct</v>
      </c>
      <c r="C221" t="s">
        <v>28</v>
      </c>
      <c r="D221" t="s">
        <v>29</v>
      </c>
      <c r="E221" t="s">
        <v>20</v>
      </c>
      <c r="F221" t="s">
        <v>15</v>
      </c>
      <c r="G221">
        <v>4.5</v>
      </c>
      <c r="H221">
        <v>35</v>
      </c>
      <c r="I221">
        <f>Table1[[#This Row],[Price]]*Table1[[#This Row],[Qty]]</f>
        <v>157.5</v>
      </c>
    </row>
    <row r="222" spans="1:9" x14ac:dyDescent="0.25">
      <c r="A222" s="1">
        <v>42293</v>
      </c>
      <c r="B222" s="1" t="str">
        <f>TEXT(Table1[[#This Row],[Date]],"mmm")</f>
        <v>Oct</v>
      </c>
      <c r="C222" t="s">
        <v>28</v>
      </c>
      <c r="D222" t="s">
        <v>29</v>
      </c>
      <c r="E222" t="s">
        <v>20</v>
      </c>
      <c r="F222" t="s">
        <v>15</v>
      </c>
      <c r="G222">
        <v>32.799999999999997</v>
      </c>
      <c r="H222">
        <v>123</v>
      </c>
      <c r="I222">
        <f>Table1[[#This Row],[Price]]*Table1[[#This Row],[Qty]]</f>
        <v>4034.3999999999996</v>
      </c>
    </row>
    <row r="223" spans="1:9" x14ac:dyDescent="0.25">
      <c r="A223" s="1">
        <v>42300</v>
      </c>
      <c r="B223" s="1" t="str">
        <f>TEXT(Table1[[#This Row],[Date]],"mmm")</f>
        <v>Oct</v>
      </c>
      <c r="C223" t="s">
        <v>28</v>
      </c>
      <c r="D223" t="s">
        <v>29</v>
      </c>
      <c r="E223" t="s">
        <v>24</v>
      </c>
      <c r="F223" t="s">
        <v>18</v>
      </c>
      <c r="G223">
        <v>38</v>
      </c>
      <c r="H223">
        <v>36</v>
      </c>
      <c r="I223">
        <f>Table1[[#This Row],[Price]]*Table1[[#This Row],[Qty]]</f>
        <v>1368</v>
      </c>
    </row>
    <row r="224" spans="1:9" x14ac:dyDescent="0.25">
      <c r="A224" s="1">
        <v>42307</v>
      </c>
      <c r="B224" s="1" t="str">
        <f>TEXT(Table1[[#This Row],[Date]],"mmm")</f>
        <v>Oct</v>
      </c>
      <c r="C224" t="s">
        <v>28</v>
      </c>
      <c r="D224" t="s">
        <v>29</v>
      </c>
      <c r="E224" t="s">
        <v>24</v>
      </c>
      <c r="F224" t="s">
        <v>15</v>
      </c>
      <c r="G224">
        <v>38</v>
      </c>
      <c r="H224">
        <v>1</v>
      </c>
      <c r="I224">
        <f>Table1[[#This Row],[Price]]*Table1[[#This Row],[Qty]]</f>
        <v>38</v>
      </c>
    </row>
    <row r="225" spans="1:9" x14ac:dyDescent="0.25">
      <c r="A225" s="1">
        <v>42319</v>
      </c>
      <c r="B225" s="1" t="str">
        <f>TEXT(Table1[[#This Row],[Date]],"mmm")</f>
        <v>Nov</v>
      </c>
      <c r="C225" t="s">
        <v>28</v>
      </c>
      <c r="D225" t="s">
        <v>29</v>
      </c>
      <c r="E225" t="s">
        <v>20</v>
      </c>
      <c r="F225" t="s">
        <v>18</v>
      </c>
      <c r="G225">
        <v>34.799999999999997</v>
      </c>
      <c r="H225">
        <v>35</v>
      </c>
      <c r="I225">
        <f>Table1[[#This Row],[Price]]*Table1[[#This Row],[Qty]]</f>
        <v>1218</v>
      </c>
    </row>
    <row r="226" spans="1:9" x14ac:dyDescent="0.25">
      <c r="A226" s="1">
        <v>42327</v>
      </c>
      <c r="B226" s="1" t="str">
        <f>TEXT(Table1[[#This Row],[Date]],"mmm")</f>
        <v>Nov</v>
      </c>
      <c r="C226" t="s">
        <v>28</v>
      </c>
      <c r="D226" t="s">
        <v>29</v>
      </c>
      <c r="E226" t="s">
        <v>23</v>
      </c>
      <c r="F226" t="s">
        <v>18</v>
      </c>
      <c r="G226">
        <v>55</v>
      </c>
      <c r="H226">
        <v>25</v>
      </c>
      <c r="I226">
        <f>Table1[[#This Row],[Price]]*Table1[[#This Row],[Qty]]</f>
        <v>1375</v>
      </c>
    </row>
    <row r="227" spans="1:9" x14ac:dyDescent="0.25">
      <c r="A227" s="1">
        <v>42333</v>
      </c>
      <c r="B227" s="1" t="str">
        <f>TEXT(Table1[[#This Row],[Date]],"mmm")</f>
        <v>Nov</v>
      </c>
      <c r="C227" t="s">
        <v>28</v>
      </c>
      <c r="D227" t="s">
        <v>29</v>
      </c>
      <c r="E227" t="s">
        <v>25</v>
      </c>
      <c r="F227" t="s">
        <v>12</v>
      </c>
      <c r="G227">
        <v>14</v>
      </c>
      <c r="H227">
        <v>3</v>
      </c>
      <c r="I227">
        <f>Table1[[#This Row],[Price]]*Table1[[#This Row],[Qty]]</f>
        <v>42</v>
      </c>
    </row>
    <row r="228" spans="1:9" x14ac:dyDescent="0.25">
      <c r="A228" s="1">
        <v>42343</v>
      </c>
      <c r="B228" s="1" t="str">
        <f>TEXT(Table1[[#This Row],[Date]],"mmm")</f>
        <v>Dec</v>
      </c>
      <c r="C228" t="s">
        <v>28</v>
      </c>
      <c r="D228" t="s">
        <v>29</v>
      </c>
      <c r="E228" t="s">
        <v>14</v>
      </c>
      <c r="F228" t="s">
        <v>18</v>
      </c>
      <c r="G228">
        <v>28.5</v>
      </c>
      <c r="H228">
        <v>2</v>
      </c>
      <c r="I228">
        <f>Table1[[#This Row],[Price]]*Table1[[#This Row],[Qty]]</f>
        <v>57</v>
      </c>
    </row>
    <row r="229" spans="1:9" x14ac:dyDescent="0.25">
      <c r="A229" s="1">
        <v>42348</v>
      </c>
      <c r="B229" s="1" t="str">
        <f>TEXT(Table1[[#This Row],[Date]],"mmm")</f>
        <v>Dec</v>
      </c>
      <c r="C229" t="s">
        <v>28</v>
      </c>
      <c r="D229" t="s">
        <v>29</v>
      </c>
      <c r="E229" t="s">
        <v>19</v>
      </c>
      <c r="F229" t="s">
        <v>15</v>
      </c>
      <c r="G229">
        <v>31</v>
      </c>
      <c r="H229">
        <v>6</v>
      </c>
      <c r="I229">
        <f>Table1[[#This Row],[Price]]*Table1[[#This Row],[Qty]]</f>
        <v>186</v>
      </c>
    </row>
    <row r="230" spans="1:9" x14ac:dyDescent="0.25">
      <c r="A230" s="1">
        <v>42357</v>
      </c>
      <c r="B230" s="1" t="str">
        <f>TEXT(Table1[[#This Row],[Date]],"mmm")</f>
        <v>Dec</v>
      </c>
      <c r="C230" t="s">
        <v>28</v>
      </c>
      <c r="D230" t="s">
        <v>29</v>
      </c>
      <c r="E230" t="s">
        <v>19</v>
      </c>
      <c r="F230" t="s">
        <v>15</v>
      </c>
      <c r="G230">
        <v>43.9</v>
      </c>
      <c r="H230">
        <v>3</v>
      </c>
      <c r="I230">
        <f>Table1[[#This Row],[Price]]*Table1[[#This Row],[Qty]]</f>
        <v>131.69999999999999</v>
      </c>
    </row>
    <row r="231" spans="1:9" x14ac:dyDescent="0.25">
      <c r="A231" s="1">
        <v>42362</v>
      </c>
      <c r="B231" s="1" t="str">
        <f>TEXT(Table1[[#This Row],[Date]],"mmm")</f>
        <v>Dec</v>
      </c>
      <c r="C231" t="s">
        <v>28</v>
      </c>
      <c r="D231" t="s">
        <v>29</v>
      </c>
      <c r="E231" t="s">
        <v>14</v>
      </c>
      <c r="F231" t="s">
        <v>15</v>
      </c>
      <c r="G231">
        <v>17.45</v>
      </c>
      <c r="H231">
        <v>65</v>
      </c>
      <c r="I231">
        <f>Table1[[#This Row],[Price]]*Table1[[#This Row],[Qty]]</f>
        <v>1134.25</v>
      </c>
    </row>
    <row r="232" spans="1:9" x14ac:dyDescent="0.25">
      <c r="A232" s="1">
        <v>42368</v>
      </c>
      <c r="B232" s="1" t="str">
        <f>TEXT(Table1[[#This Row],[Date]],"mmm")</f>
        <v>Dec</v>
      </c>
      <c r="C232" t="s">
        <v>28</v>
      </c>
      <c r="D232" t="s">
        <v>29</v>
      </c>
      <c r="E232" t="s">
        <v>11</v>
      </c>
      <c r="F232" t="s">
        <v>12</v>
      </c>
      <c r="G232">
        <v>55</v>
      </c>
      <c r="H232">
        <v>15</v>
      </c>
      <c r="I232">
        <f>Table1[[#This Row],[Price]]*Table1[[#This Row],[Qty]]</f>
        <v>825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7267-0300-420E-9580-004F0C430702}">
  <dimension ref="A1:F12"/>
  <sheetViews>
    <sheetView workbookViewId="0">
      <selection activeCell="J6" sqref="J6"/>
    </sheetView>
  </sheetViews>
  <sheetFormatPr defaultRowHeight="15" x14ac:dyDescent="0.25"/>
  <cols>
    <col min="1" max="1" width="24.42578125" bestFit="1" customWidth="1"/>
    <col min="2" max="2" width="21.5703125" bestFit="1" customWidth="1"/>
    <col min="3" max="3" width="4" bestFit="1" customWidth="1"/>
    <col min="4" max="4" width="2" bestFit="1" customWidth="1"/>
    <col min="5" max="5" width="13.140625" bestFit="1" customWidth="1"/>
    <col min="6" max="6" width="15.5703125" bestFit="1" customWidth="1"/>
    <col min="7" max="7" width="2" bestFit="1" customWidth="1"/>
    <col min="8" max="11" width="4" bestFit="1" customWidth="1"/>
    <col min="12" max="13" width="2" bestFit="1" customWidth="1"/>
    <col min="14" max="15" width="4" bestFit="1" customWidth="1"/>
    <col min="16" max="16" width="5" bestFit="1" customWidth="1"/>
    <col min="17" max="18" width="4" bestFit="1" customWidth="1"/>
    <col min="19" max="19" width="5" bestFit="1" customWidth="1"/>
    <col min="20" max="20" width="2" bestFit="1" customWidth="1"/>
    <col min="21" max="22" width="4" bestFit="1" customWidth="1"/>
    <col min="23" max="24" width="5" bestFit="1" customWidth="1"/>
    <col min="25" max="25" width="3" bestFit="1" customWidth="1"/>
    <col min="26" max="26" width="5" bestFit="1" customWidth="1"/>
    <col min="27" max="27" width="6" bestFit="1" customWidth="1"/>
    <col min="28" max="28" width="3" bestFit="1" customWidth="1"/>
    <col min="29" max="29" width="6" bestFit="1" customWidth="1"/>
    <col min="30" max="31" width="5" bestFit="1" customWidth="1"/>
    <col min="32" max="32" width="3" bestFit="1" customWidth="1"/>
    <col min="33" max="34" width="5" bestFit="1" customWidth="1"/>
    <col min="35" max="35" width="3" bestFit="1" customWidth="1"/>
    <col min="36" max="36" width="5" bestFit="1" customWidth="1"/>
    <col min="37" max="37" width="3" bestFit="1" customWidth="1"/>
    <col min="38" max="38" width="5" bestFit="1" customWidth="1"/>
    <col min="39" max="39" width="3" bestFit="1" customWidth="1"/>
    <col min="40" max="40" width="6" bestFit="1" customWidth="1"/>
    <col min="41" max="41" width="5" bestFit="1" customWidth="1"/>
    <col min="42" max="42" width="3" bestFit="1" customWidth="1"/>
    <col min="43" max="43" width="5" bestFit="1" customWidth="1"/>
    <col min="44" max="44" width="3" bestFit="1" customWidth="1"/>
    <col min="45" max="45" width="5" bestFit="1" customWidth="1"/>
    <col min="46" max="46" width="6" bestFit="1" customWidth="1"/>
    <col min="47" max="47" width="5" bestFit="1" customWidth="1"/>
    <col min="48" max="48" width="3" bestFit="1" customWidth="1"/>
    <col min="49" max="50" width="5" bestFit="1" customWidth="1"/>
    <col min="51" max="51" width="3" bestFit="1" customWidth="1"/>
    <col min="52" max="52" width="5" bestFit="1" customWidth="1"/>
    <col min="53" max="53" width="3" bestFit="1" customWidth="1"/>
    <col min="54" max="55" width="5" bestFit="1" customWidth="1"/>
    <col min="56" max="56" width="6" bestFit="1" customWidth="1"/>
    <col min="57" max="61" width="5" bestFit="1" customWidth="1"/>
    <col min="62" max="62" width="3" bestFit="1" customWidth="1"/>
    <col min="63" max="63" width="6" bestFit="1" customWidth="1"/>
    <col min="64" max="64" width="5" bestFit="1" customWidth="1"/>
    <col min="65" max="65" width="6" bestFit="1" customWidth="1"/>
    <col min="66" max="66" width="3" bestFit="1" customWidth="1"/>
    <col min="67" max="68" width="5" bestFit="1" customWidth="1"/>
    <col min="69" max="71" width="3" bestFit="1" customWidth="1"/>
    <col min="72" max="74" width="5" bestFit="1" customWidth="1"/>
    <col min="75" max="76" width="3" bestFit="1" customWidth="1"/>
    <col min="77" max="77" width="5" bestFit="1" customWidth="1"/>
    <col min="78" max="79" width="3" bestFit="1" customWidth="1"/>
    <col min="80" max="80" width="5" bestFit="1" customWidth="1"/>
    <col min="81" max="83" width="3" bestFit="1" customWidth="1"/>
    <col min="84" max="84" width="7" bestFit="1" customWidth="1"/>
    <col min="85" max="85" width="6" bestFit="1" customWidth="1"/>
    <col min="86" max="86" width="11.28515625" bestFit="1" customWidth="1"/>
    <col min="87" max="87" width="5" bestFit="1" customWidth="1"/>
    <col min="88" max="89" width="6.85546875" bestFit="1" customWidth="1"/>
    <col min="90" max="91" width="4.85546875" bestFit="1" customWidth="1"/>
    <col min="92" max="92" width="5" bestFit="1" customWidth="1"/>
    <col min="93" max="93" width="7.85546875" bestFit="1" customWidth="1"/>
    <col min="94" max="94" width="4.85546875" bestFit="1" customWidth="1"/>
    <col min="95" max="95" width="6.85546875" bestFit="1" customWidth="1"/>
    <col min="96" max="96" width="7.85546875" bestFit="1" customWidth="1"/>
    <col min="97" max="100" width="5.85546875" bestFit="1" customWidth="1"/>
    <col min="101" max="102" width="7.85546875" bestFit="1" customWidth="1"/>
    <col min="103" max="103" width="5.85546875" bestFit="1" customWidth="1"/>
    <col min="104" max="104" width="3" bestFit="1" customWidth="1"/>
    <col min="105" max="105" width="7.85546875" bestFit="1" customWidth="1"/>
    <col min="106" max="107" width="5.85546875" bestFit="1" customWidth="1"/>
    <col min="108" max="111" width="7.85546875" bestFit="1" customWidth="1"/>
    <col min="112" max="112" width="5.85546875" bestFit="1" customWidth="1"/>
    <col min="113" max="113" width="7.85546875" bestFit="1" customWidth="1"/>
    <col min="114" max="114" width="5.85546875" bestFit="1" customWidth="1"/>
    <col min="115" max="115" width="7.85546875" bestFit="1" customWidth="1"/>
    <col min="116" max="116" width="5.85546875" bestFit="1" customWidth="1"/>
    <col min="117" max="118" width="7.85546875" bestFit="1" customWidth="1"/>
    <col min="119" max="119" width="5.85546875" bestFit="1" customWidth="1"/>
    <col min="120" max="121" width="7.85546875" bestFit="1" customWidth="1"/>
    <col min="122" max="122" width="5.85546875" bestFit="1" customWidth="1"/>
    <col min="123" max="123" width="3" bestFit="1" customWidth="1"/>
    <col min="124" max="124" width="5.85546875" bestFit="1" customWidth="1"/>
    <col min="125" max="126" width="7.85546875" bestFit="1" customWidth="1"/>
    <col min="127" max="128" width="5.85546875" bestFit="1" customWidth="1"/>
    <col min="129" max="129" width="7.85546875" bestFit="1" customWidth="1"/>
    <col min="130" max="130" width="5" bestFit="1" customWidth="1"/>
    <col min="131" max="131" width="7.85546875" bestFit="1" customWidth="1"/>
    <col min="132" max="132" width="5.85546875" bestFit="1" customWidth="1"/>
    <col min="133" max="134" width="7.85546875" bestFit="1" customWidth="1"/>
    <col min="135" max="135" width="5.85546875" bestFit="1" customWidth="1"/>
    <col min="136" max="138" width="7.85546875" bestFit="1" customWidth="1"/>
    <col min="139" max="144" width="5.85546875" bestFit="1" customWidth="1"/>
    <col min="145" max="145" width="8.85546875" bestFit="1" customWidth="1"/>
    <col min="146" max="146" width="7.85546875" bestFit="1" customWidth="1"/>
    <col min="147" max="147" width="5.85546875" bestFit="1" customWidth="1"/>
    <col min="148" max="148" width="7.85546875" bestFit="1" customWidth="1"/>
    <col min="149" max="149" width="5.85546875" bestFit="1" customWidth="1"/>
    <col min="150" max="150" width="3" bestFit="1" customWidth="1"/>
    <col min="151" max="151" width="7.85546875" bestFit="1" customWidth="1"/>
    <col min="152" max="153" width="5.85546875" bestFit="1" customWidth="1"/>
    <col min="154" max="154" width="7.85546875" bestFit="1" customWidth="1"/>
    <col min="155" max="155" width="5.85546875" bestFit="1" customWidth="1"/>
    <col min="156" max="156" width="7.85546875" bestFit="1" customWidth="1"/>
    <col min="157" max="161" width="5.85546875" bestFit="1" customWidth="1"/>
    <col min="162" max="163" width="7.85546875" bestFit="1" customWidth="1"/>
    <col min="164" max="169" width="5.85546875" bestFit="1" customWidth="1"/>
    <col min="170" max="170" width="7.85546875" bestFit="1" customWidth="1"/>
    <col min="171" max="173" width="5.85546875" bestFit="1" customWidth="1"/>
    <col min="174" max="174" width="7.85546875" bestFit="1" customWidth="1"/>
    <col min="175" max="176" width="5.85546875" bestFit="1" customWidth="1"/>
    <col min="177" max="178" width="7.85546875" bestFit="1" customWidth="1"/>
    <col min="179" max="185" width="5.85546875" bestFit="1" customWidth="1"/>
    <col min="186" max="186" width="3" bestFit="1" customWidth="1"/>
    <col min="187" max="190" width="6.85546875" bestFit="1" customWidth="1"/>
    <col min="191" max="191" width="9.85546875" bestFit="1" customWidth="1"/>
    <col min="192" max="194" width="6.85546875" bestFit="1" customWidth="1"/>
    <col min="195" max="195" width="8.85546875" bestFit="1" customWidth="1"/>
    <col min="196" max="198" width="6.85546875" bestFit="1" customWidth="1"/>
    <col min="199" max="199" width="8.85546875" bestFit="1" customWidth="1"/>
    <col min="200" max="205" width="6.85546875" bestFit="1" customWidth="1"/>
    <col min="206" max="206" width="8.85546875" bestFit="1" customWidth="1"/>
    <col min="207" max="207" width="9.85546875" bestFit="1" customWidth="1"/>
    <col min="208" max="208" width="11.28515625" bestFit="1" customWidth="1"/>
  </cols>
  <sheetData>
    <row r="1" spans="1:6" x14ac:dyDescent="0.25">
      <c r="B1" s="6" t="s">
        <v>34</v>
      </c>
    </row>
    <row r="3" spans="1:6" x14ac:dyDescent="0.25">
      <c r="A3" s="4" t="s">
        <v>30</v>
      </c>
      <c r="E3" s="4" t="s">
        <v>35</v>
      </c>
    </row>
    <row r="5" spans="1:6" x14ac:dyDescent="0.25">
      <c r="A5" s="2" t="s">
        <v>31</v>
      </c>
      <c r="B5" t="s">
        <v>33</v>
      </c>
      <c r="E5" s="2" t="s">
        <v>31</v>
      </c>
      <c r="F5" t="s">
        <v>33</v>
      </c>
    </row>
    <row r="6" spans="1:6" x14ac:dyDescent="0.25">
      <c r="A6" s="3" t="s">
        <v>10</v>
      </c>
      <c r="B6">
        <v>8853.9</v>
      </c>
      <c r="E6" s="3" t="s">
        <v>9</v>
      </c>
      <c r="F6" s="5">
        <v>32075.9</v>
      </c>
    </row>
    <row r="7" spans="1:6" x14ac:dyDescent="0.25">
      <c r="A7" s="3" t="s">
        <v>27</v>
      </c>
      <c r="B7">
        <v>17688.14</v>
      </c>
      <c r="E7" s="3" t="s">
        <v>26</v>
      </c>
      <c r="F7" s="5">
        <v>17688.14</v>
      </c>
    </row>
    <row r="8" spans="1:6" x14ac:dyDescent="0.25">
      <c r="A8" s="3" t="s">
        <v>13</v>
      </c>
      <c r="B8">
        <v>8914.16</v>
      </c>
      <c r="E8" s="3" t="s">
        <v>21</v>
      </c>
      <c r="F8" s="5">
        <v>8294.5399999999991</v>
      </c>
    </row>
    <row r="9" spans="1:6" x14ac:dyDescent="0.25">
      <c r="A9" s="3" t="s">
        <v>17</v>
      </c>
      <c r="B9">
        <v>8360.3499999999985</v>
      </c>
      <c r="E9" s="3" t="s">
        <v>28</v>
      </c>
      <c r="F9" s="5">
        <v>15771.7</v>
      </c>
    </row>
    <row r="10" spans="1:6" x14ac:dyDescent="0.25">
      <c r="A10" s="3" t="s">
        <v>16</v>
      </c>
      <c r="B10">
        <v>14242.029999999999</v>
      </c>
      <c r="E10" s="3" t="s">
        <v>32</v>
      </c>
      <c r="F10" s="5">
        <v>73830.28</v>
      </c>
    </row>
    <row r="11" spans="1:6" x14ac:dyDescent="0.25">
      <c r="A11" s="3" t="s">
        <v>29</v>
      </c>
      <c r="B11">
        <v>15771.7</v>
      </c>
    </row>
    <row r="12" spans="1:6" x14ac:dyDescent="0.25">
      <c r="A12" s="3" t="s">
        <v>32</v>
      </c>
      <c r="B12">
        <v>73830.27999999997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9D33-361E-4BF7-92EA-897D688C6D88}">
  <dimension ref="A1"/>
  <sheetViews>
    <sheetView workbookViewId="0">
      <selection activeCell="F11" sqref="F1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pivot table</vt:lpstr>
      <vt:lpstr>Dshboard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dhunde</dc:creator>
  <cp:lastModifiedBy>harsha dhunde</cp:lastModifiedBy>
  <dcterms:created xsi:type="dcterms:W3CDTF">2026-01-21T05:56:05Z</dcterms:created>
  <dcterms:modified xsi:type="dcterms:W3CDTF">2026-01-25T13:08:31Z</dcterms:modified>
</cp:coreProperties>
</file>